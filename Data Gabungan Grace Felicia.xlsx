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ce\Downloads\"/>
    </mc:Choice>
  </mc:AlternateContent>
  <xr:revisionPtr revIDLastSave="0" documentId="8_{20A94697-8AB1-4062-8686-50690EE149C0}" xr6:coauthVersionLast="47" xr6:coauthVersionMax="47" xr10:uidLastSave="{00000000-0000-0000-0000-000000000000}"/>
  <bookViews>
    <workbookView xWindow="-110" yWindow="-110" windowWidth="19420" windowHeight="10300" xr2:uid="{02CBC382-E7EE-4295-A5BB-E46CC9593037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22" i="3" l="1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W2" i="3"/>
  <c r="Z2" i="3"/>
  <c r="V2" i="3"/>
  <c r="Y2" i="3"/>
  <c r="U2" i="3"/>
  <c r="X2" i="3"/>
  <c r="AA2" i="3"/>
  <c r="Y489" i="3" l="1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X422" i="3"/>
  <c r="AA422" i="3" s="1"/>
  <c r="X423" i="3"/>
  <c r="AA423" i="3" s="1"/>
  <c r="X424" i="3"/>
  <c r="AA424" i="3" s="1"/>
  <c r="X425" i="3"/>
  <c r="AA425" i="3" s="1"/>
  <c r="X426" i="3"/>
  <c r="AA426" i="3" s="1"/>
  <c r="X427" i="3"/>
  <c r="AA427" i="3" s="1"/>
  <c r="X428" i="3"/>
  <c r="AA428" i="3" s="1"/>
  <c r="X429" i="3"/>
  <c r="AA429" i="3" s="1"/>
  <c r="X430" i="3"/>
  <c r="AA430" i="3" s="1"/>
  <c r="X431" i="3"/>
  <c r="AA431" i="3" s="1"/>
  <c r="X432" i="3"/>
  <c r="AA432" i="3" s="1"/>
  <c r="X433" i="3"/>
  <c r="AA433" i="3" s="1"/>
  <c r="X434" i="3"/>
  <c r="AA434" i="3" s="1"/>
  <c r="X435" i="3"/>
  <c r="AA435" i="3" s="1"/>
  <c r="X436" i="3"/>
  <c r="AA436" i="3" s="1"/>
  <c r="X437" i="3"/>
  <c r="AA437" i="3" s="1"/>
  <c r="X438" i="3"/>
  <c r="AA438" i="3" s="1"/>
  <c r="X439" i="3"/>
  <c r="AA439" i="3" s="1"/>
  <c r="X440" i="3"/>
  <c r="AA440" i="3" s="1"/>
  <c r="X441" i="3"/>
  <c r="AA441" i="3" s="1"/>
  <c r="X442" i="3"/>
  <c r="AA442" i="3" s="1"/>
  <c r="X443" i="3"/>
  <c r="AA443" i="3" s="1"/>
  <c r="X444" i="3"/>
  <c r="AA444" i="3" s="1"/>
  <c r="X445" i="3"/>
  <c r="AA445" i="3" s="1"/>
  <c r="X446" i="3"/>
  <c r="AA446" i="3" s="1"/>
  <c r="X447" i="3"/>
  <c r="AA447" i="3" s="1"/>
  <c r="X448" i="3"/>
  <c r="AA448" i="3" s="1"/>
  <c r="X449" i="3"/>
  <c r="AA449" i="3" s="1"/>
  <c r="X450" i="3"/>
  <c r="AA450" i="3" s="1"/>
  <c r="X451" i="3"/>
  <c r="AA451" i="3" s="1"/>
  <c r="X452" i="3"/>
  <c r="AA452" i="3" s="1"/>
  <c r="X453" i="3"/>
  <c r="AA453" i="3" s="1"/>
  <c r="X454" i="3"/>
  <c r="AA454" i="3" s="1"/>
  <c r="X455" i="3"/>
  <c r="AA455" i="3" s="1"/>
  <c r="X456" i="3"/>
  <c r="AA456" i="3" s="1"/>
  <c r="X457" i="3"/>
  <c r="AA457" i="3" s="1"/>
  <c r="X458" i="3"/>
  <c r="AA458" i="3" s="1"/>
  <c r="X459" i="3"/>
  <c r="AA459" i="3" s="1"/>
  <c r="X460" i="3"/>
  <c r="AA460" i="3" s="1"/>
  <c r="X461" i="3"/>
  <c r="AA461" i="3" s="1"/>
  <c r="X462" i="3"/>
  <c r="AA462" i="3" s="1"/>
  <c r="X463" i="3"/>
  <c r="AA463" i="3" s="1"/>
  <c r="X464" i="3"/>
  <c r="AA464" i="3" s="1"/>
  <c r="X465" i="3"/>
  <c r="AA465" i="3" s="1"/>
  <c r="X466" i="3"/>
  <c r="AA466" i="3" s="1"/>
  <c r="X467" i="3"/>
  <c r="AA467" i="3" s="1"/>
  <c r="X468" i="3"/>
  <c r="AA468" i="3" s="1"/>
  <c r="X469" i="3"/>
  <c r="AA469" i="3" s="1"/>
  <c r="X470" i="3"/>
  <c r="AA470" i="3" s="1"/>
  <c r="X471" i="3"/>
  <c r="AA471" i="3" s="1"/>
  <c r="X472" i="3"/>
  <c r="AA472" i="3" s="1"/>
  <c r="X473" i="3"/>
  <c r="AA473" i="3" s="1"/>
  <c r="X474" i="3"/>
  <c r="AA474" i="3" s="1"/>
  <c r="X475" i="3"/>
  <c r="AA475" i="3" s="1"/>
  <c r="X476" i="3"/>
  <c r="AA476" i="3" s="1"/>
  <c r="X477" i="3"/>
  <c r="AA477" i="3" s="1"/>
  <c r="X478" i="3"/>
  <c r="AA478" i="3" s="1"/>
  <c r="X479" i="3"/>
  <c r="AA479" i="3" s="1"/>
  <c r="X480" i="3"/>
  <c r="AA480" i="3" s="1"/>
  <c r="X481" i="3"/>
  <c r="AA481" i="3" s="1"/>
  <c r="X482" i="3"/>
  <c r="AA482" i="3" s="1"/>
  <c r="X483" i="3"/>
  <c r="AA483" i="3" s="1"/>
  <c r="X484" i="3"/>
  <c r="AA484" i="3" s="1"/>
  <c r="X485" i="3"/>
  <c r="AA485" i="3" s="1"/>
  <c r="X486" i="3"/>
  <c r="AA486" i="3" s="1"/>
  <c r="X487" i="3"/>
  <c r="AA487" i="3" s="1"/>
  <c r="X488" i="3"/>
  <c r="AA488" i="3" s="1"/>
  <c r="X489" i="3"/>
  <c r="AA489" i="3" s="1"/>
  <c r="X490" i="3"/>
  <c r="AA490" i="3" s="1"/>
  <c r="X491" i="3"/>
  <c r="AA491" i="3" s="1"/>
  <c r="X492" i="3"/>
  <c r="AA492" i="3" s="1"/>
  <c r="X493" i="3"/>
  <c r="AA493" i="3" s="1"/>
  <c r="X494" i="3"/>
  <c r="AA494" i="3" s="1"/>
  <c r="X495" i="3"/>
  <c r="AA495" i="3" s="1"/>
  <c r="X496" i="3"/>
  <c r="AA496" i="3" s="1"/>
  <c r="X497" i="3"/>
  <c r="AA497" i="3" s="1"/>
  <c r="X498" i="3"/>
  <c r="AA498" i="3" s="1"/>
  <c r="X499" i="3"/>
  <c r="AA499" i="3" s="1"/>
  <c r="X500" i="3"/>
  <c r="AA500" i="3" s="1"/>
  <c r="X501" i="3"/>
  <c r="AA501" i="3" s="1"/>
  <c r="X502" i="3"/>
  <c r="AA502" i="3" s="1"/>
  <c r="X503" i="3"/>
  <c r="AA503" i="3" s="1"/>
  <c r="X504" i="3"/>
  <c r="AA504" i="3" s="1"/>
  <c r="X505" i="3"/>
  <c r="AA505" i="3" s="1"/>
  <c r="X506" i="3"/>
  <c r="AA506" i="3" s="1"/>
  <c r="X507" i="3"/>
  <c r="AA507" i="3" s="1"/>
  <c r="X508" i="3"/>
  <c r="AA508" i="3" s="1"/>
  <c r="X509" i="3"/>
  <c r="AA509" i="3" s="1"/>
  <c r="X510" i="3"/>
  <c r="AA510" i="3" s="1"/>
  <c r="X511" i="3"/>
  <c r="AA511" i="3" s="1"/>
  <c r="X512" i="3"/>
  <c r="AA512" i="3" s="1"/>
  <c r="X513" i="3"/>
  <c r="AA513" i="3" s="1"/>
  <c r="X514" i="3"/>
  <c r="AA514" i="3" s="1"/>
  <c r="X515" i="3"/>
  <c r="AA515" i="3" s="1"/>
  <c r="X516" i="3"/>
  <c r="AA516" i="3" s="1"/>
  <c r="X517" i="3"/>
  <c r="AA517" i="3" s="1"/>
  <c r="X518" i="3"/>
  <c r="AA518" i="3" s="1"/>
  <c r="X519" i="3"/>
  <c r="AA519" i="3" s="1"/>
  <c r="X520" i="3"/>
  <c r="AA520" i="3" s="1"/>
  <c r="X521" i="3"/>
  <c r="AA521" i="3" s="1"/>
  <c r="X522" i="3"/>
  <c r="AA522" i="3" s="1"/>
  <c r="X523" i="3"/>
  <c r="AA523" i="3" s="1"/>
  <c r="X524" i="3"/>
  <c r="AA524" i="3" s="1"/>
  <c r="X525" i="3"/>
  <c r="AA525" i="3" s="1"/>
  <c r="X526" i="3"/>
  <c r="AA526" i="3" s="1"/>
  <c r="X527" i="3"/>
  <c r="AA527" i="3" s="1"/>
  <c r="X528" i="3"/>
  <c r="AA528" i="3" s="1"/>
  <c r="X529" i="3"/>
  <c r="AA529" i="3" s="1"/>
  <c r="X530" i="3"/>
  <c r="AA530" i="3" s="1"/>
  <c r="X531" i="3"/>
  <c r="AA531" i="3" s="1"/>
  <c r="X532" i="3"/>
  <c r="AA532" i="3" s="1"/>
  <c r="X533" i="3"/>
  <c r="AA533" i="3" s="1"/>
  <c r="X534" i="3"/>
  <c r="AA534" i="3" s="1"/>
  <c r="X535" i="3"/>
  <c r="AA535" i="3" s="1"/>
  <c r="X536" i="3"/>
  <c r="AA536" i="3" s="1"/>
  <c r="X537" i="3"/>
  <c r="AA537" i="3" s="1"/>
  <c r="X538" i="3"/>
  <c r="AA538" i="3" s="1"/>
  <c r="X539" i="3"/>
  <c r="AA539" i="3" s="1"/>
  <c r="X540" i="3"/>
  <c r="AA540" i="3" s="1"/>
  <c r="X541" i="3"/>
  <c r="AA541" i="3" s="1"/>
  <c r="X542" i="3"/>
  <c r="AA542" i="3" s="1"/>
  <c r="X543" i="3"/>
  <c r="AA543" i="3" s="1"/>
  <c r="X544" i="3"/>
  <c r="AA544" i="3" s="1"/>
  <c r="X545" i="3"/>
  <c r="AA545" i="3" s="1"/>
  <c r="X546" i="3"/>
  <c r="AA546" i="3" s="1"/>
  <c r="X547" i="3"/>
  <c r="AA547" i="3" s="1"/>
  <c r="X548" i="3"/>
  <c r="AA548" i="3" s="1"/>
  <c r="X549" i="3"/>
  <c r="AA549" i="3" s="1"/>
  <c r="X550" i="3"/>
  <c r="AA550" i="3" s="1"/>
  <c r="X551" i="3"/>
  <c r="AA551" i="3" s="1"/>
  <c r="X552" i="3"/>
  <c r="AA552" i="3" s="1"/>
  <c r="X553" i="3"/>
  <c r="AA553" i="3" s="1"/>
  <c r="X554" i="3"/>
  <c r="AA554" i="3" s="1"/>
  <c r="X555" i="3"/>
  <c r="AA555" i="3" s="1"/>
  <c r="X556" i="3"/>
  <c r="AA556" i="3" s="1"/>
  <c r="X557" i="3"/>
  <c r="AA557" i="3" s="1"/>
  <c r="X558" i="3"/>
  <c r="AA558" i="3" s="1"/>
  <c r="X559" i="3"/>
  <c r="AA559" i="3" s="1"/>
  <c r="X560" i="3"/>
  <c r="AA560" i="3" s="1"/>
  <c r="X561" i="3"/>
  <c r="AA561" i="3" s="1"/>
  <c r="X562" i="3"/>
  <c r="AA562" i="3" s="1"/>
  <c r="X563" i="3"/>
  <c r="AA563" i="3" s="1"/>
  <c r="X564" i="3"/>
  <c r="AA564" i="3" s="1"/>
  <c r="X565" i="3"/>
  <c r="AA565" i="3" s="1"/>
  <c r="X566" i="3"/>
  <c r="AA566" i="3" s="1"/>
  <c r="X567" i="3"/>
  <c r="AA567" i="3" s="1"/>
  <c r="X568" i="3"/>
  <c r="AA568" i="3" s="1"/>
  <c r="X569" i="3"/>
  <c r="AA569" i="3" s="1"/>
  <c r="X570" i="3"/>
  <c r="AA570" i="3" s="1"/>
  <c r="X571" i="3"/>
  <c r="AA571" i="3" s="1"/>
  <c r="X572" i="3"/>
  <c r="AA572" i="3" s="1"/>
  <c r="X573" i="3"/>
  <c r="AA573" i="3" s="1"/>
  <c r="X574" i="3"/>
  <c r="AA574" i="3" s="1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AA589" i="3" s="1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AA611" i="3" s="1"/>
  <c r="X612" i="3"/>
  <c r="AA612" i="3" s="1"/>
  <c r="X613" i="3"/>
  <c r="AA613" i="3" s="1"/>
  <c r="X614" i="3"/>
  <c r="AA614" i="3" s="1"/>
  <c r="X615" i="3"/>
  <c r="AA615" i="3" s="1"/>
  <c r="X616" i="3"/>
  <c r="AA616" i="3" s="1"/>
  <c r="X617" i="3"/>
  <c r="AA617" i="3" s="1"/>
  <c r="X618" i="3"/>
  <c r="AA618" i="3" s="1"/>
  <c r="X619" i="3"/>
  <c r="AA619" i="3" s="1"/>
  <c r="X620" i="3"/>
  <c r="AA620" i="3" s="1"/>
  <c r="X621" i="3"/>
  <c r="AA621" i="3" s="1"/>
  <c r="X622" i="3"/>
  <c r="AA622" i="3" s="1"/>
  <c r="X623" i="3"/>
  <c r="AA623" i="3" s="1"/>
  <c r="X624" i="3"/>
  <c r="AA624" i="3" s="1"/>
  <c r="X625" i="3"/>
  <c r="X626" i="3"/>
  <c r="X627" i="3"/>
  <c r="X628" i="3"/>
  <c r="X629" i="3"/>
  <c r="X630" i="3"/>
  <c r="X631" i="3"/>
  <c r="AA631" i="3" s="1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AA652" i="3" s="1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AA673" i="3" s="1"/>
  <c r="X674" i="3"/>
  <c r="AA674" i="3" s="1"/>
  <c r="X675" i="3"/>
  <c r="AA675" i="3" s="1"/>
  <c r="X676" i="3"/>
  <c r="AA676" i="3" s="1"/>
  <c r="X677" i="3"/>
  <c r="AA677" i="3" s="1"/>
  <c r="X678" i="3"/>
  <c r="AA678" i="3" s="1"/>
  <c r="X679" i="3"/>
  <c r="AA679" i="3" s="1"/>
  <c r="X680" i="3"/>
  <c r="AA680" i="3" s="1"/>
  <c r="X681" i="3"/>
  <c r="AA681" i="3" s="1"/>
  <c r="X682" i="3"/>
  <c r="AA682" i="3" s="1"/>
  <c r="X683" i="3"/>
  <c r="AA683" i="3" s="1"/>
  <c r="X684" i="3"/>
  <c r="AA684" i="3" s="1"/>
  <c r="X685" i="3"/>
  <c r="AA685" i="3" s="1"/>
  <c r="X686" i="3"/>
  <c r="AA686" i="3" s="1"/>
  <c r="X687" i="3"/>
  <c r="AA687" i="3" s="1"/>
  <c r="X688" i="3"/>
  <c r="AA688" i="3" s="1"/>
  <c r="X689" i="3"/>
  <c r="AA689" i="3" s="1"/>
  <c r="X690" i="3"/>
  <c r="AA690" i="3" s="1"/>
  <c r="X691" i="3"/>
  <c r="X692" i="3"/>
  <c r="X693" i="3"/>
  <c r="X694" i="3"/>
  <c r="AA694" i="3" s="1"/>
  <c r="X695" i="3"/>
  <c r="AA695" i="3" s="1"/>
  <c r="X696" i="3"/>
  <c r="AA696" i="3" s="1"/>
  <c r="X697" i="3"/>
  <c r="AA697" i="3" s="1"/>
  <c r="X698" i="3"/>
  <c r="AA698" i="3" s="1"/>
  <c r="X699" i="3"/>
  <c r="AA699" i="3" s="1"/>
  <c r="X700" i="3"/>
  <c r="AA700" i="3" s="1"/>
  <c r="X701" i="3"/>
  <c r="AA701" i="3" s="1"/>
  <c r="X702" i="3"/>
  <c r="AA702" i="3" s="1"/>
  <c r="X703" i="3"/>
  <c r="AA703" i="3" s="1"/>
  <c r="X704" i="3"/>
  <c r="AA704" i="3" s="1"/>
  <c r="X705" i="3"/>
  <c r="AA705" i="3" s="1"/>
  <c r="X706" i="3"/>
  <c r="AA706" i="3" s="1"/>
  <c r="X707" i="3"/>
  <c r="AA707" i="3" s="1"/>
  <c r="X708" i="3"/>
  <c r="AA708" i="3" s="1"/>
  <c r="X709" i="3"/>
  <c r="X710" i="3"/>
  <c r="X711" i="3"/>
  <c r="X712" i="3"/>
  <c r="X713" i="3"/>
  <c r="X714" i="3"/>
  <c r="X715" i="3"/>
  <c r="AA715" i="3" s="1"/>
  <c r="X716" i="3"/>
  <c r="AA716" i="3" s="1"/>
  <c r="X717" i="3"/>
  <c r="AA717" i="3" s="1"/>
  <c r="X718" i="3"/>
  <c r="AA718" i="3" s="1"/>
  <c r="X719" i="3"/>
  <c r="AA719" i="3" s="1"/>
  <c r="X720" i="3"/>
  <c r="AA720" i="3" s="1"/>
  <c r="X721" i="3"/>
  <c r="AA721" i="3" s="1"/>
  <c r="X722" i="3"/>
  <c r="AA722" i="3" s="1"/>
  <c r="X723" i="3"/>
  <c r="AA723" i="3" s="1"/>
  <c r="X724" i="3"/>
  <c r="AA724" i="3" s="1"/>
  <c r="X725" i="3"/>
  <c r="AA725" i="3" s="1"/>
  <c r="X726" i="3"/>
  <c r="AA726" i="3" s="1"/>
  <c r="X727" i="3"/>
  <c r="AA727" i="3" s="1"/>
  <c r="X728" i="3"/>
  <c r="AA728" i="3" s="1"/>
  <c r="X729" i="3"/>
  <c r="AA729" i="3" s="1"/>
  <c r="X730" i="3"/>
  <c r="X731" i="3"/>
  <c r="X732" i="3"/>
  <c r="X733" i="3"/>
  <c r="X734" i="3"/>
  <c r="X735" i="3"/>
  <c r="X736" i="3"/>
  <c r="AA736" i="3" s="1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AA757" i="3" s="1"/>
  <c r="X758" i="3"/>
  <c r="AA758" i="3" s="1"/>
  <c r="X759" i="3"/>
  <c r="AA759" i="3" s="1"/>
  <c r="X760" i="3"/>
  <c r="AA760" i="3" s="1"/>
  <c r="X761" i="3"/>
  <c r="AA761" i="3" s="1"/>
  <c r="X762" i="3"/>
  <c r="AA762" i="3" s="1"/>
  <c r="X763" i="3"/>
  <c r="AA763" i="3" s="1"/>
  <c r="X764" i="3"/>
  <c r="AA764" i="3" s="1"/>
  <c r="X765" i="3"/>
  <c r="AA765" i="3" s="1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AA778" i="3" s="1"/>
  <c r="X779" i="3"/>
  <c r="AA779" i="3" s="1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AA797" i="3" s="1"/>
  <c r="X798" i="3"/>
  <c r="X799" i="3"/>
  <c r="AA799" i="3" s="1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AA816" i="3" s="1"/>
  <c r="X817" i="3"/>
  <c r="AA817" i="3" s="1"/>
  <c r="X818" i="3"/>
  <c r="AA818" i="3" s="1"/>
  <c r="X819" i="3"/>
  <c r="AA819" i="3" s="1"/>
  <c r="X820" i="3"/>
  <c r="AA820" i="3" s="1"/>
  <c r="X821" i="3"/>
  <c r="AA821" i="3" s="1"/>
  <c r="X822" i="3"/>
  <c r="AA822" i="3" s="1"/>
  <c r="X823" i="3"/>
  <c r="AA823" i="3" s="1"/>
  <c r="X824" i="3"/>
  <c r="AA824" i="3" s="1"/>
  <c r="X825" i="3"/>
  <c r="AA825" i="3" s="1"/>
  <c r="X826" i="3"/>
  <c r="AA826" i="3" s="1"/>
  <c r="X827" i="3"/>
  <c r="AA827" i="3" s="1"/>
  <c r="X828" i="3"/>
  <c r="AA828" i="3" s="1"/>
  <c r="X829" i="3"/>
  <c r="AA829" i="3" s="1"/>
  <c r="X830" i="3"/>
  <c r="AA830" i="3" s="1"/>
  <c r="X831" i="3"/>
  <c r="X832" i="3"/>
  <c r="X833" i="3"/>
  <c r="X834" i="3"/>
  <c r="X835" i="3"/>
  <c r="X836" i="3"/>
  <c r="X837" i="3"/>
  <c r="X838" i="3"/>
  <c r="X839" i="3"/>
  <c r="X840" i="3"/>
  <c r="X841" i="3"/>
  <c r="AA841" i="3" s="1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X3" i="3"/>
  <c r="AA3" i="3" s="1"/>
  <c r="X4" i="3"/>
  <c r="AA4" i="3" s="1"/>
  <c r="X5" i="3"/>
  <c r="AA5" i="3" s="1"/>
  <c r="X6" i="3"/>
  <c r="AA6" i="3" s="1"/>
  <c r="X7" i="3"/>
  <c r="AA7" i="3" s="1"/>
  <c r="X8" i="3"/>
  <c r="AA8" i="3" s="1"/>
  <c r="X9" i="3"/>
  <c r="AA9" i="3" s="1"/>
  <c r="X10" i="3"/>
  <c r="AA10" i="3" s="1"/>
  <c r="X11" i="3"/>
  <c r="AA11" i="3" s="1"/>
  <c r="X12" i="3"/>
  <c r="AA12" i="3" s="1"/>
  <c r="X13" i="3"/>
  <c r="AA13" i="3" s="1"/>
  <c r="X14" i="3"/>
  <c r="AA14" i="3" s="1"/>
  <c r="X15" i="3"/>
  <c r="AA15" i="3" s="1"/>
  <c r="X16" i="3"/>
  <c r="AA16" i="3" s="1"/>
  <c r="X17" i="3"/>
  <c r="AA17" i="3" s="1"/>
  <c r="X18" i="3"/>
  <c r="AA18" i="3" s="1"/>
  <c r="X19" i="3"/>
  <c r="AA19" i="3" s="1"/>
  <c r="X20" i="3"/>
  <c r="AA20" i="3" s="1"/>
  <c r="X21" i="3"/>
  <c r="AA21" i="3" s="1"/>
  <c r="X22" i="3"/>
  <c r="AA22" i="3" s="1"/>
  <c r="X23" i="3"/>
  <c r="AA23" i="3" s="1"/>
  <c r="X24" i="3"/>
  <c r="AA24" i="3" s="1"/>
  <c r="X25" i="3"/>
  <c r="AA25" i="3" s="1"/>
  <c r="X26" i="3"/>
  <c r="AA26" i="3" s="1"/>
  <c r="X27" i="3"/>
  <c r="AA27" i="3" s="1"/>
  <c r="X28" i="3"/>
  <c r="AA28" i="3" s="1"/>
  <c r="X29" i="3"/>
  <c r="AA29" i="3" s="1"/>
  <c r="X30" i="3"/>
  <c r="AA30" i="3" s="1"/>
  <c r="X31" i="3"/>
  <c r="AA31" i="3" s="1"/>
  <c r="X32" i="3"/>
  <c r="AA32" i="3" s="1"/>
  <c r="X33" i="3"/>
  <c r="AA33" i="3" s="1"/>
  <c r="X34" i="3"/>
  <c r="AA34" i="3" s="1"/>
  <c r="X35" i="3"/>
  <c r="AA35" i="3" s="1"/>
  <c r="X36" i="3"/>
  <c r="AA36" i="3" s="1"/>
  <c r="X37" i="3"/>
  <c r="AA37" i="3" s="1"/>
  <c r="X38" i="3"/>
  <c r="AA38" i="3" s="1"/>
  <c r="X39" i="3"/>
  <c r="AA39" i="3" s="1"/>
  <c r="X40" i="3"/>
  <c r="AA40" i="3" s="1"/>
  <c r="X41" i="3"/>
  <c r="AA41" i="3" s="1"/>
  <c r="X42" i="3"/>
  <c r="AA42" i="3" s="1"/>
  <c r="X43" i="3"/>
  <c r="AA43" i="3" s="1"/>
  <c r="X44" i="3"/>
  <c r="AA44" i="3" s="1"/>
  <c r="X45" i="3"/>
  <c r="AA45" i="3" s="1"/>
  <c r="X46" i="3"/>
  <c r="AA46" i="3" s="1"/>
  <c r="X47" i="3"/>
  <c r="AA47" i="3" s="1"/>
  <c r="X48" i="3"/>
  <c r="AA48" i="3" s="1"/>
  <c r="X49" i="3"/>
  <c r="AA49" i="3" s="1"/>
  <c r="X50" i="3"/>
  <c r="AA50" i="3" s="1"/>
  <c r="X51" i="3"/>
  <c r="AA51" i="3" s="1"/>
  <c r="X52" i="3"/>
  <c r="AA52" i="3" s="1"/>
  <c r="X53" i="3"/>
  <c r="AA53" i="3" s="1"/>
  <c r="X54" i="3"/>
  <c r="AA54" i="3" s="1"/>
  <c r="X55" i="3"/>
  <c r="AA55" i="3" s="1"/>
  <c r="X56" i="3"/>
  <c r="AA56" i="3" s="1"/>
  <c r="X57" i="3"/>
  <c r="AA57" i="3" s="1"/>
  <c r="X58" i="3"/>
  <c r="AA58" i="3" s="1"/>
  <c r="X59" i="3"/>
  <c r="AA59" i="3" s="1"/>
  <c r="X60" i="3"/>
  <c r="AA60" i="3" s="1"/>
  <c r="X61" i="3"/>
  <c r="AA61" i="3" s="1"/>
  <c r="X62" i="3"/>
  <c r="AA62" i="3" s="1"/>
  <c r="X63" i="3"/>
  <c r="AA63" i="3" s="1"/>
  <c r="X64" i="3"/>
  <c r="AA64" i="3" s="1"/>
  <c r="X65" i="3"/>
  <c r="AA65" i="3" s="1"/>
  <c r="X66" i="3"/>
  <c r="AA66" i="3" s="1"/>
  <c r="X67" i="3"/>
  <c r="AA67" i="3" s="1"/>
  <c r="X68" i="3"/>
  <c r="AA68" i="3" s="1"/>
  <c r="X69" i="3"/>
  <c r="AA69" i="3" s="1"/>
  <c r="X70" i="3"/>
  <c r="AA70" i="3" s="1"/>
  <c r="X71" i="3"/>
  <c r="AA71" i="3" s="1"/>
  <c r="X72" i="3"/>
  <c r="AA72" i="3" s="1"/>
  <c r="X73" i="3"/>
  <c r="AA73" i="3" s="1"/>
  <c r="X74" i="3"/>
  <c r="AA74" i="3" s="1"/>
  <c r="X75" i="3"/>
  <c r="AA75" i="3" s="1"/>
  <c r="X76" i="3"/>
  <c r="AA76" i="3" s="1"/>
  <c r="X77" i="3"/>
  <c r="AA77" i="3" s="1"/>
  <c r="X78" i="3"/>
  <c r="AA78" i="3" s="1"/>
  <c r="X79" i="3"/>
  <c r="AA79" i="3" s="1"/>
  <c r="X80" i="3"/>
  <c r="AA80" i="3" s="1"/>
  <c r="X81" i="3"/>
  <c r="AA81" i="3" s="1"/>
  <c r="X82" i="3"/>
  <c r="AA82" i="3" s="1"/>
  <c r="X83" i="3"/>
  <c r="AA83" i="3" s="1"/>
  <c r="X84" i="3"/>
  <c r="AA84" i="3" s="1"/>
  <c r="X85" i="3"/>
  <c r="AA85" i="3" s="1"/>
  <c r="X86" i="3"/>
  <c r="AA86" i="3" s="1"/>
  <c r="X87" i="3"/>
  <c r="AA87" i="3" s="1"/>
  <c r="X88" i="3"/>
  <c r="AA88" i="3" s="1"/>
  <c r="X89" i="3"/>
  <c r="AA89" i="3" s="1"/>
  <c r="X90" i="3"/>
  <c r="AA90" i="3" s="1"/>
  <c r="X91" i="3"/>
  <c r="AA91" i="3" s="1"/>
  <c r="X92" i="3"/>
  <c r="AA92" i="3" s="1"/>
  <c r="X93" i="3"/>
  <c r="AA93" i="3" s="1"/>
  <c r="X94" i="3"/>
  <c r="AA94" i="3" s="1"/>
  <c r="X95" i="3"/>
  <c r="AA95" i="3" s="1"/>
  <c r="X96" i="3"/>
  <c r="AA96" i="3" s="1"/>
  <c r="X97" i="3"/>
  <c r="AA97" i="3" s="1"/>
  <c r="X98" i="3"/>
  <c r="AA98" i="3" s="1"/>
  <c r="X99" i="3"/>
  <c r="AA99" i="3" s="1"/>
  <c r="X100" i="3"/>
  <c r="AA100" i="3" s="1"/>
  <c r="X101" i="3"/>
  <c r="AA101" i="3" s="1"/>
  <c r="X102" i="3"/>
  <c r="AA102" i="3" s="1"/>
  <c r="X103" i="3"/>
  <c r="AA103" i="3" s="1"/>
  <c r="X104" i="3"/>
  <c r="AA104" i="3" s="1"/>
  <c r="X105" i="3"/>
  <c r="AA105" i="3" s="1"/>
  <c r="X106" i="3"/>
  <c r="AA106" i="3" s="1"/>
  <c r="X107" i="3"/>
  <c r="AA107" i="3" s="1"/>
  <c r="X108" i="3"/>
  <c r="AA108" i="3" s="1"/>
  <c r="X109" i="3"/>
  <c r="AA109" i="3" s="1"/>
  <c r="X110" i="3"/>
  <c r="AA110" i="3" s="1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AA127" i="3" s="1"/>
  <c r="X128" i="3"/>
  <c r="AA128" i="3" s="1"/>
  <c r="X129" i="3"/>
  <c r="AA129" i="3" s="1"/>
  <c r="X130" i="3"/>
  <c r="AA130" i="3" s="1"/>
  <c r="X131" i="3"/>
  <c r="AA131" i="3" s="1"/>
  <c r="X132" i="3"/>
  <c r="AA132" i="3" s="1"/>
  <c r="X133" i="3"/>
  <c r="AA133" i="3" s="1"/>
  <c r="X134" i="3"/>
  <c r="AA134" i="3" s="1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AA149" i="3" s="1"/>
  <c r="X150" i="3"/>
  <c r="AA150" i="3" s="1"/>
  <c r="X151" i="3"/>
  <c r="AA151" i="3" s="1"/>
  <c r="X152" i="3"/>
  <c r="AA152" i="3" s="1"/>
  <c r="X153" i="3"/>
  <c r="AA153" i="3" s="1"/>
  <c r="X154" i="3"/>
  <c r="AA154" i="3" s="1"/>
  <c r="X155" i="3"/>
  <c r="AA155" i="3" s="1"/>
  <c r="X156" i="3"/>
  <c r="AA156" i="3" s="1"/>
  <c r="X157" i="3"/>
  <c r="AA157" i="3" s="1"/>
  <c r="X158" i="3"/>
  <c r="AA158" i="3" s="1"/>
  <c r="X159" i="3"/>
  <c r="AA159" i="3" s="1"/>
  <c r="X160" i="3"/>
  <c r="AA160" i="3" s="1"/>
  <c r="X161" i="3"/>
  <c r="AA161" i="3" s="1"/>
  <c r="X162" i="3"/>
  <c r="AA162" i="3" s="1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AA190" i="3" s="1"/>
  <c r="X191" i="3"/>
  <c r="AA191" i="3" s="1"/>
  <c r="X192" i="3"/>
  <c r="AA192" i="3" s="1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AA211" i="3" s="1"/>
  <c r="X212" i="3"/>
  <c r="AA212" i="3" s="1"/>
  <c r="X213" i="3"/>
  <c r="AA213" i="3" s="1"/>
  <c r="X214" i="3"/>
  <c r="AA214" i="3" s="1"/>
  <c r="X215" i="3"/>
  <c r="AA215" i="3" s="1"/>
  <c r="X216" i="3"/>
  <c r="AA216" i="3" s="1"/>
  <c r="X217" i="3"/>
  <c r="AA217" i="3" s="1"/>
  <c r="X218" i="3"/>
  <c r="AA218" i="3" s="1"/>
  <c r="X219" i="3"/>
  <c r="AA219" i="3" s="1"/>
  <c r="X220" i="3"/>
  <c r="AA220" i="3" s="1"/>
  <c r="X221" i="3"/>
  <c r="AA221" i="3" s="1"/>
  <c r="X222" i="3"/>
  <c r="AA222" i="3" s="1"/>
  <c r="X223" i="3"/>
  <c r="AA223" i="3" s="1"/>
  <c r="X224" i="3"/>
  <c r="AA224" i="3" s="1"/>
  <c r="X225" i="3"/>
  <c r="AA225" i="3" s="1"/>
  <c r="X226" i="3"/>
  <c r="AA226" i="3" s="1"/>
  <c r="X227" i="3"/>
  <c r="X228" i="3"/>
  <c r="X229" i="3"/>
  <c r="X230" i="3"/>
  <c r="X231" i="3"/>
  <c r="X232" i="3"/>
  <c r="AA232" i="3" s="1"/>
  <c r="X233" i="3"/>
  <c r="AA233" i="3" s="1"/>
  <c r="X234" i="3"/>
  <c r="AA234" i="3" s="1"/>
  <c r="X235" i="3"/>
  <c r="AA235" i="3" s="1"/>
  <c r="X236" i="3"/>
  <c r="AA236" i="3" s="1"/>
  <c r="X237" i="3"/>
  <c r="AA237" i="3" s="1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AA253" i="3" s="1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AA295" i="3" s="1"/>
  <c r="X296" i="3"/>
  <c r="AA296" i="3" s="1"/>
  <c r="X297" i="3"/>
  <c r="AA297" i="3" s="1"/>
  <c r="X298" i="3"/>
  <c r="AA298" i="3" s="1"/>
  <c r="X299" i="3"/>
  <c r="AA299" i="3" s="1"/>
  <c r="X300" i="3"/>
  <c r="AA300" i="3" s="1"/>
  <c r="X301" i="3"/>
  <c r="AA301" i="3" s="1"/>
  <c r="X302" i="3"/>
  <c r="AA302" i="3" s="1"/>
  <c r="X303" i="3"/>
  <c r="AA303" i="3" s="1"/>
  <c r="X304" i="3"/>
  <c r="AA304" i="3" s="1"/>
  <c r="X305" i="3"/>
  <c r="X306" i="3"/>
  <c r="X307" i="3"/>
  <c r="X308" i="3"/>
  <c r="X309" i="3"/>
  <c r="X310" i="3"/>
  <c r="X311" i="3"/>
  <c r="X312" i="3"/>
  <c r="X313" i="3"/>
  <c r="X314" i="3"/>
  <c r="X315" i="3"/>
  <c r="X316" i="3"/>
  <c r="AA316" i="3" s="1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AA337" i="3" s="1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AA352" i="3" s="1"/>
  <c r="X353" i="3"/>
  <c r="AA353" i="3" s="1"/>
  <c r="X354" i="3"/>
  <c r="AA354" i="3" s="1"/>
  <c r="X355" i="3"/>
  <c r="AA355" i="3" s="1"/>
  <c r="X356" i="3"/>
  <c r="AA356" i="3" s="1"/>
  <c r="X357" i="3"/>
  <c r="AA357" i="3" s="1"/>
  <c r="X358" i="3"/>
  <c r="AA358" i="3" s="1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AA379" i="3" s="1"/>
  <c r="X380" i="3"/>
  <c r="AA380" i="3" s="1"/>
  <c r="X381" i="3"/>
  <c r="AA381" i="3" s="1"/>
  <c r="X382" i="3"/>
  <c r="AA382" i="3" s="1"/>
  <c r="X383" i="3"/>
  <c r="AA383" i="3" s="1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AA400" i="3" s="1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AA421" i="3" s="1"/>
  <c r="AA575" i="3" l="1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25" i="3"/>
  <c r="AA626" i="3"/>
  <c r="AA627" i="3"/>
  <c r="AA628" i="3"/>
  <c r="AA629" i="3"/>
  <c r="AA630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802" i="3"/>
  <c r="AA803" i="3"/>
  <c r="AA806" i="3"/>
  <c r="AA808" i="3"/>
  <c r="AA810" i="3"/>
  <c r="AA811" i="3"/>
  <c r="AA813" i="3"/>
  <c r="AA815" i="3"/>
  <c r="AA832" i="3"/>
  <c r="AA834" i="3"/>
  <c r="AA835" i="3"/>
  <c r="AA837" i="3"/>
  <c r="AA840" i="3"/>
  <c r="AA691" i="3"/>
  <c r="AA692" i="3"/>
  <c r="AA693" i="3"/>
  <c r="AA709" i="3"/>
  <c r="AA710" i="3"/>
  <c r="AA711" i="3"/>
  <c r="AA712" i="3"/>
  <c r="AA713" i="3"/>
  <c r="AA714" i="3"/>
  <c r="AA730" i="3"/>
  <c r="AA731" i="3"/>
  <c r="AA732" i="3"/>
  <c r="AA733" i="3"/>
  <c r="AA734" i="3"/>
  <c r="AA735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8" i="3"/>
  <c r="AA800" i="3"/>
  <c r="AA801" i="3"/>
  <c r="AA804" i="3"/>
  <c r="AA805" i="3"/>
  <c r="AA807" i="3"/>
  <c r="AA809" i="3"/>
  <c r="AA812" i="3"/>
  <c r="AA814" i="3"/>
  <c r="AA831" i="3"/>
  <c r="AA833" i="3"/>
  <c r="AA836" i="3"/>
  <c r="AA838" i="3"/>
  <c r="AA839" i="3"/>
  <c r="AA795" i="3"/>
  <c r="AA796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27" i="3"/>
  <c r="AA228" i="3"/>
  <c r="AA229" i="3"/>
  <c r="AA230" i="3"/>
  <c r="AA231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305" i="3"/>
  <c r="AA306" i="3"/>
  <c r="AA307" i="3"/>
  <c r="AA308" i="3"/>
  <c r="AA309" i="3"/>
  <c r="AA310" i="3"/>
  <c r="AA311" i="3"/>
  <c r="AA312" i="3"/>
  <c r="AA313" i="3"/>
  <c r="AA314" i="3"/>
  <c r="AA315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</calcChain>
</file>

<file path=xl/sharedStrings.xml><?xml version="1.0" encoding="utf-8"?>
<sst xmlns="http://schemas.openxmlformats.org/spreadsheetml/2006/main" count="5377" uniqueCount="28">
  <si>
    <t>EBITTA</t>
  </si>
  <si>
    <t>Net Income</t>
  </si>
  <si>
    <t>EBIT</t>
  </si>
  <si>
    <t>NA</t>
  </si>
  <si>
    <t>ROA</t>
  </si>
  <si>
    <t>ROE</t>
  </si>
  <si>
    <t>DER</t>
  </si>
  <si>
    <t>DAR</t>
  </si>
  <si>
    <t>ICR</t>
  </si>
  <si>
    <t>CR</t>
  </si>
  <si>
    <t>TA Turnover</t>
  </si>
  <si>
    <t>WC/TA</t>
  </si>
  <si>
    <t>OCF</t>
  </si>
  <si>
    <t>WC</t>
  </si>
  <si>
    <t>TA</t>
  </si>
  <si>
    <t>NBT</t>
  </si>
  <si>
    <t>Sales</t>
  </si>
  <si>
    <t>TD</t>
  </si>
  <si>
    <t>CA</t>
  </si>
  <si>
    <t>CL</t>
  </si>
  <si>
    <t>Springate</t>
  </si>
  <si>
    <t>Grover</t>
  </si>
  <si>
    <t>Zmijewski</t>
  </si>
  <si>
    <t>Label</t>
  </si>
  <si>
    <t>Label Springate</t>
  </si>
  <si>
    <t>Label Grover</t>
  </si>
  <si>
    <t>Label Zmijewski</t>
  </si>
  <si>
    <t>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</si>
</sst>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quotePrefix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2DBD-9DEE-4187-9B27-257C6279CBAE}">
  <dimension ref="A1:AA841"/>
  <sheetViews>
    <sheetView tabSelected="1" zoomScale="95" workbookViewId="0">
      <selection activeCell="R1" sqref="R1"/>
    </sheetView>
  </sheetViews>
  <sheetFormatPr defaultRowHeight="14.5" x14ac:dyDescent="0.35"/>
  <cols>
    <col min="8" max="8" width="10.36328125" customWidth="1"/>
    <col min="15" max="15" width="10.1796875" customWidth="1"/>
    <col min="22" max="22" width="9.453125" bestFit="1" customWidth="1"/>
    <col min="24" max="24" width="13.81640625" bestFit="1" customWidth="1"/>
    <col min="25" max="25" width="14.36328125" bestFit="1" customWidth="1"/>
    <col min="26" max="26" width="11.26953125" bestFit="1" customWidth="1"/>
  </cols>
  <sheetData>
    <row r="1" spans="1:27" x14ac:dyDescent="0.35">
      <c r="A1" s="4" t="s">
        <v>4</v>
      </c>
      <c r="B1" s="4" t="s">
        <v>5</v>
      </c>
      <c r="C1" s="4" t="s">
        <v>0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</v>
      </c>
      <c r="P1" s="4" t="s">
        <v>17</v>
      </c>
      <c r="Q1" s="4" t="s">
        <v>18</v>
      </c>
      <c r="R1" s="4" t="s">
        <v>19</v>
      </c>
      <c r="S1" s="4" t="s">
        <v>2</v>
      </c>
      <c r="T1" s="4" t="s">
        <v>27</v>
      </c>
      <c r="U1" s="4" t="s">
        <v>20</v>
      </c>
      <c r="V1" s="4" t="s">
        <v>22</v>
      </c>
      <c r="W1" s="4" t="s">
        <v>21</v>
      </c>
      <c r="X1" s="4" t="s">
        <v>24</v>
      </c>
      <c r="Y1" s="4" t="s">
        <v>26</v>
      </c>
      <c r="Z1" s="4" t="s">
        <v>25</v>
      </c>
      <c r="AA1" s="4" t="s">
        <v>23</v>
      </c>
    </row>
    <row r="2" spans="1:27" x14ac:dyDescent="0.3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t="e">
        <f t="shared" ref="U2:U65" si="0">1.03*(K2/L2) + 3.07*(S2/L2) + 0.66*(M2/R2) +0.4*(N2/L2)</f>
        <v>#VALUE!</v>
      </c>
      <c r="V2" t="e">
        <f t="shared" ref="V2:V65" si="1">-4.3-4.5*(O2/L2)+5.7*(P2/L2)+0.004*(Q2/R2)</f>
        <v>#VALUE!</v>
      </c>
      <c r="W2" t="e">
        <f t="shared" ref="W2:W65" si="2">0.057+1.65*(K2/L2)+3.404*(S2/L2)+0.016*(O2/L2)</f>
        <v>#VALUE!</v>
      </c>
      <c r="X2" t="e">
        <f>IF(U2&gt;=0.862,0,1)</f>
        <v>#VALUE!</v>
      </c>
      <c r="Y2" t="e">
        <f>IF(V2&lt;=0,0,1)</f>
        <v>#VALUE!</v>
      </c>
      <c r="Z2" t="e">
        <f>IF(W2&gt;=0.01,0,1)</f>
        <v>#VALUE!</v>
      </c>
      <c r="AA2" t="e">
        <f>IF(SUM(X2:Z2)&gt;=2,1,0)</f>
        <v>#VALUE!</v>
      </c>
    </row>
    <row r="3" spans="1:27" x14ac:dyDescent="0.35">
      <c r="A3" s="1" t="s">
        <v>3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t="e">
        <f t="shared" si="0"/>
        <v>#VALUE!</v>
      </c>
      <c r="V3" t="e">
        <f t="shared" si="1"/>
        <v>#VALUE!</v>
      </c>
      <c r="W3" t="e">
        <f t="shared" si="2"/>
        <v>#VALUE!</v>
      </c>
      <c r="X3" t="e">
        <f t="shared" ref="X3:X66" si="3">IF(U3&gt;=0.862,0,1)</f>
        <v>#VALUE!</v>
      </c>
      <c r="Y3" t="e">
        <f t="shared" ref="Y3:Y66" si="4">IF(V3&lt;=0,0,1)</f>
        <v>#VALUE!</v>
      </c>
      <c r="Z3" t="e">
        <f t="shared" ref="Z3:Z66" si="5">IF(W3&gt;=0.01,0,1)</f>
        <v>#VALUE!</v>
      </c>
      <c r="AA3" t="e">
        <f t="shared" ref="AA3:AA66" si="6">IF(SUM(X3:Z3)&gt;=2,1,0)</f>
        <v>#VALUE!</v>
      </c>
    </row>
    <row r="4" spans="1:27" x14ac:dyDescent="0.35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 t="s">
        <v>3</v>
      </c>
      <c r="U4" t="e">
        <f t="shared" si="0"/>
        <v>#VALUE!</v>
      </c>
      <c r="V4" t="e">
        <f t="shared" si="1"/>
        <v>#VALUE!</v>
      </c>
      <c r="W4" t="e">
        <f t="shared" si="2"/>
        <v>#VALUE!</v>
      </c>
      <c r="X4" t="e">
        <f t="shared" si="3"/>
        <v>#VALUE!</v>
      </c>
      <c r="Y4" t="e">
        <f t="shared" si="4"/>
        <v>#VALUE!</v>
      </c>
      <c r="Z4" t="e">
        <f t="shared" si="5"/>
        <v>#VALUE!</v>
      </c>
      <c r="AA4" t="e">
        <f t="shared" si="6"/>
        <v>#VALUE!</v>
      </c>
    </row>
    <row r="5" spans="1:27" x14ac:dyDescent="0.35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t="e">
        <f t="shared" si="0"/>
        <v>#VALUE!</v>
      </c>
      <c r="V5" t="e">
        <f t="shared" si="1"/>
        <v>#VALUE!</v>
      </c>
      <c r="W5" t="e">
        <f t="shared" si="2"/>
        <v>#VALUE!</v>
      </c>
      <c r="X5" t="e">
        <f t="shared" si="3"/>
        <v>#VALUE!</v>
      </c>
      <c r="Y5" t="e">
        <f t="shared" si="4"/>
        <v>#VALUE!</v>
      </c>
      <c r="Z5" t="e">
        <f t="shared" si="5"/>
        <v>#VALUE!</v>
      </c>
      <c r="AA5" t="e">
        <f t="shared" si="6"/>
        <v>#VALUE!</v>
      </c>
    </row>
    <row r="6" spans="1:27" x14ac:dyDescent="0.35">
      <c r="A6" s="1" t="s">
        <v>3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t="e">
        <f t="shared" si="0"/>
        <v>#VALUE!</v>
      </c>
      <c r="V6" t="e">
        <f t="shared" si="1"/>
        <v>#VALUE!</v>
      </c>
      <c r="W6" t="e">
        <f t="shared" si="2"/>
        <v>#VALUE!</v>
      </c>
      <c r="X6" t="e">
        <f t="shared" si="3"/>
        <v>#VALUE!</v>
      </c>
      <c r="Y6" t="e">
        <f t="shared" si="4"/>
        <v>#VALUE!</v>
      </c>
      <c r="Z6" t="e">
        <f t="shared" si="5"/>
        <v>#VALUE!</v>
      </c>
      <c r="AA6" t="e">
        <f t="shared" si="6"/>
        <v>#VALUE!</v>
      </c>
    </row>
    <row r="7" spans="1:27" x14ac:dyDescent="0.35">
      <c r="A7" s="1" t="s">
        <v>3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t="e">
        <f t="shared" si="0"/>
        <v>#VALUE!</v>
      </c>
      <c r="V7" t="e">
        <f t="shared" si="1"/>
        <v>#VALUE!</v>
      </c>
      <c r="W7" t="e">
        <f t="shared" si="2"/>
        <v>#VALUE!</v>
      </c>
      <c r="X7" t="e">
        <f t="shared" si="3"/>
        <v>#VALUE!</v>
      </c>
      <c r="Y7" t="e">
        <f t="shared" si="4"/>
        <v>#VALUE!</v>
      </c>
      <c r="Z7" t="e">
        <f t="shared" si="5"/>
        <v>#VALUE!</v>
      </c>
      <c r="AA7" t="e">
        <f t="shared" si="6"/>
        <v>#VALUE!</v>
      </c>
    </row>
    <row r="8" spans="1:27" x14ac:dyDescent="0.35">
      <c r="A8" s="1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t="e">
        <f t="shared" si="0"/>
        <v>#VALUE!</v>
      </c>
      <c r="V8" t="e">
        <f t="shared" si="1"/>
        <v>#VALUE!</v>
      </c>
      <c r="W8" t="e">
        <f t="shared" si="2"/>
        <v>#VALUE!</v>
      </c>
      <c r="X8" t="e">
        <f t="shared" si="3"/>
        <v>#VALUE!</v>
      </c>
      <c r="Y8" t="e">
        <f t="shared" si="4"/>
        <v>#VALUE!</v>
      </c>
      <c r="Z8" t="e">
        <f t="shared" si="5"/>
        <v>#VALUE!</v>
      </c>
      <c r="AA8" t="e">
        <f t="shared" si="6"/>
        <v>#VALUE!</v>
      </c>
    </row>
    <row r="9" spans="1:27" x14ac:dyDescent="0.35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t="e">
        <f t="shared" si="0"/>
        <v>#VALUE!</v>
      </c>
      <c r="V9" t="e">
        <f t="shared" si="1"/>
        <v>#VALUE!</v>
      </c>
      <c r="W9" t="e">
        <f t="shared" si="2"/>
        <v>#VALUE!</v>
      </c>
      <c r="X9" t="e">
        <f t="shared" si="3"/>
        <v>#VALUE!</v>
      </c>
      <c r="Y9" t="e">
        <f t="shared" si="4"/>
        <v>#VALUE!</v>
      </c>
      <c r="Z9" t="e">
        <f t="shared" si="5"/>
        <v>#VALUE!</v>
      </c>
      <c r="AA9" t="e">
        <f t="shared" si="6"/>
        <v>#VALUE!</v>
      </c>
    </row>
    <row r="10" spans="1:27" x14ac:dyDescent="0.35">
      <c r="A10" s="1" t="s">
        <v>3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t="e">
        <f t="shared" si="0"/>
        <v>#VALUE!</v>
      </c>
      <c r="V10" t="e">
        <f t="shared" si="1"/>
        <v>#VALUE!</v>
      </c>
      <c r="W10" t="e">
        <f t="shared" si="2"/>
        <v>#VALUE!</v>
      </c>
      <c r="X10" t="e">
        <f t="shared" si="3"/>
        <v>#VALUE!</v>
      </c>
      <c r="Y10" t="e">
        <f t="shared" si="4"/>
        <v>#VALUE!</v>
      </c>
      <c r="Z10" t="e">
        <f t="shared" si="5"/>
        <v>#VALUE!</v>
      </c>
      <c r="AA10" t="e">
        <f t="shared" si="6"/>
        <v>#VALUE!</v>
      </c>
    </row>
    <row r="11" spans="1:27" x14ac:dyDescent="0.35">
      <c r="A11" s="1" t="s">
        <v>3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t="e">
        <f t="shared" si="0"/>
        <v>#VALUE!</v>
      </c>
      <c r="V11" t="e">
        <f t="shared" si="1"/>
        <v>#VALUE!</v>
      </c>
      <c r="W11" t="e">
        <f t="shared" si="2"/>
        <v>#VALUE!</v>
      </c>
      <c r="X11" t="e">
        <f t="shared" si="3"/>
        <v>#VALUE!</v>
      </c>
      <c r="Y11" t="e">
        <f t="shared" si="4"/>
        <v>#VALUE!</v>
      </c>
      <c r="Z11" t="e">
        <f t="shared" si="5"/>
        <v>#VALUE!</v>
      </c>
      <c r="AA11" t="e">
        <f t="shared" si="6"/>
        <v>#VALUE!</v>
      </c>
    </row>
    <row r="12" spans="1:27" x14ac:dyDescent="0.35">
      <c r="A12" s="1" t="s">
        <v>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t="e">
        <f t="shared" si="0"/>
        <v>#VALUE!</v>
      </c>
      <c r="V12" t="e">
        <f t="shared" si="1"/>
        <v>#VALUE!</v>
      </c>
      <c r="W12" t="e">
        <f t="shared" si="2"/>
        <v>#VALUE!</v>
      </c>
      <c r="X12" t="e">
        <f t="shared" si="3"/>
        <v>#VALUE!</v>
      </c>
      <c r="Y12" t="e">
        <f t="shared" si="4"/>
        <v>#VALUE!</v>
      </c>
      <c r="Z12" t="e">
        <f t="shared" si="5"/>
        <v>#VALUE!</v>
      </c>
      <c r="AA12" t="e">
        <f t="shared" si="6"/>
        <v>#VALUE!</v>
      </c>
    </row>
    <row r="13" spans="1:27" x14ac:dyDescent="0.35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t="e">
        <f t="shared" si="0"/>
        <v>#VALUE!</v>
      </c>
      <c r="V13" t="e">
        <f t="shared" si="1"/>
        <v>#VALUE!</v>
      </c>
      <c r="W13" t="e">
        <f t="shared" si="2"/>
        <v>#VALUE!</v>
      </c>
      <c r="X13" t="e">
        <f t="shared" si="3"/>
        <v>#VALUE!</v>
      </c>
      <c r="Y13" t="e">
        <f t="shared" si="4"/>
        <v>#VALUE!</v>
      </c>
      <c r="Z13" t="e">
        <f t="shared" si="5"/>
        <v>#VALUE!</v>
      </c>
      <c r="AA13" t="e">
        <f t="shared" si="6"/>
        <v>#VALUE!</v>
      </c>
    </row>
    <row r="14" spans="1:27" x14ac:dyDescent="0.35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t="e">
        <f t="shared" si="0"/>
        <v>#VALUE!</v>
      </c>
      <c r="V14" t="e">
        <f t="shared" si="1"/>
        <v>#VALUE!</v>
      </c>
      <c r="W14" t="e">
        <f t="shared" si="2"/>
        <v>#VALUE!</v>
      </c>
      <c r="X14" t="e">
        <f t="shared" si="3"/>
        <v>#VALUE!</v>
      </c>
      <c r="Y14" t="e">
        <f t="shared" si="4"/>
        <v>#VALUE!</v>
      </c>
      <c r="Z14" t="e">
        <f t="shared" si="5"/>
        <v>#VALUE!</v>
      </c>
      <c r="AA14" t="e">
        <f t="shared" si="6"/>
        <v>#VALUE!</v>
      </c>
    </row>
    <row r="15" spans="1:27" x14ac:dyDescent="0.35">
      <c r="A15" s="1" t="s">
        <v>3</v>
      </c>
      <c r="B15" s="1" t="s">
        <v>3</v>
      </c>
      <c r="C15" s="1" t="s">
        <v>3</v>
      </c>
      <c r="D15" s="1">
        <v>9.3503299999999996</v>
      </c>
      <c r="E15" s="1">
        <v>4.4344900000000003</v>
      </c>
      <c r="F15" s="1" t="s">
        <v>3</v>
      </c>
      <c r="G15" s="1">
        <v>1.57935</v>
      </c>
      <c r="H15" s="1" t="s">
        <v>3</v>
      </c>
      <c r="I15" s="1">
        <v>0.27889999999999998</v>
      </c>
      <c r="J15" s="1">
        <v>7400891267</v>
      </c>
      <c r="K15" s="1">
        <v>705409007227</v>
      </c>
      <c r="L15" s="1">
        <v>2529280406222</v>
      </c>
      <c r="M15" s="1">
        <v>69676473406</v>
      </c>
      <c r="N15" s="1">
        <v>438677172510</v>
      </c>
      <c r="O15" s="1">
        <v>64537932974</v>
      </c>
      <c r="P15" s="1">
        <v>112160808000</v>
      </c>
      <c r="Q15" s="1">
        <v>1922990672475</v>
      </c>
      <c r="R15" s="1">
        <v>1217581665248</v>
      </c>
      <c r="S15" s="1">
        <v>69293969176</v>
      </c>
      <c r="T15" s="1">
        <v>2.5520000000000001E-2</v>
      </c>
      <c r="U15">
        <f t="shared" si="0"/>
        <v>0.4785164400952287</v>
      </c>
      <c r="V15">
        <f t="shared" si="1"/>
        <v>-4.1557398349892472</v>
      </c>
      <c r="W15">
        <f t="shared" si="2"/>
        <v>0.6108469109558603</v>
      </c>
      <c r="X15">
        <f t="shared" si="3"/>
        <v>1</v>
      </c>
      <c r="Y15">
        <f t="shared" si="4"/>
        <v>0</v>
      </c>
      <c r="Z15">
        <f t="shared" si="5"/>
        <v>0</v>
      </c>
      <c r="AA15">
        <f t="shared" si="6"/>
        <v>0</v>
      </c>
    </row>
    <row r="16" spans="1:27" x14ac:dyDescent="0.35">
      <c r="A16" s="1">
        <v>4.3596466961669202</v>
      </c>
      <c r="B16" s="1">
        <v>8.8046126472869908</v>
      </c>
      <c r="C16" s="1">
        <v>4.1658808769871998E-2</v>
      </c>
      <c r="D16" s="1">
        <v>13.65701</v>
      </c>
      <c r="E16" s="1">
        <v>6.9276299999999997</v>
      </c>
      <c r="F16" s="1" t="s">
        <v>3</v>
      </c>
      <c r="G16" s="1">
        <v>1.6014299999999999</v>
      </c>
      <c r="H16" s="1">
        <v>0.23461226764236201</v>
      </c>
      <c r="I16" s="1">
        <v>0.25652000000000003</v>
      </c>
      <c r="J16" s="1">
        <v>13886547375</v>
      </c>
      <c r="K16" s="1">
        <v>1120049889724</v>
      </c>
      <c r="L16">
        <v>4366315260012</v>
      </c>
      <c r="M16">
        <v>160572882457</v>
      </c>
      <c r="N16">
        <v>808895668000</v>
      </c>
      <c r="O16" s="1">
        <v>150311804322</v>
      </c>
      <c r="P16" s="1">
        <v>302482157569</v>
      </c>
      <c r="Q16">
        <v>2982367515417</v>
      </c>
      <c r="R16">
        <v>1862317625693</v>
      </c>
      <c r="S16">
        <v>143631150607</v>
      </c>
      <c r="T16">
        <v>4.9209999999999997E-2</v>
      </c>
      <c r="U16">
        <f t="shared" si="0"/>
        <v>0.49621458096674792</v>
      </c>
      <c r="V16">
        <f t="shared" si="1"/>
        <v>-4.0536333333744734</v>
      </c>
      <c r="W16">
        <f t="shared" si="2"/>
        <v>0.59278534857639897</v>
      </c>
      <c r="X16">
        <f t="shared" si="3"/>
        <v>1</v>
      </c>
      <c r="Y16">
        <f t="shared" si="4"/>
        <v>0</v>
      </c>
      <c r="Z16">
        <f t="shared" si="5"/>
        <v>0</v>
      </c>
      <c r="AA16">
        <f t="shared" si="6"/>
        <v>0</v>
      </c>
    </row>
    <row r="17" spans="1:27" x14ac:dyDescent="0.35">
      <c r="A17">
        <v>2.9472127613661798</v>
      </c>
      <c r="B17" s="1">
        <v>6.3685376069333</v>
      </c>
      <c r="C17">
        <v>3.3765039900408002E-2</v>
      </c>
      <c r="D17">
        <v>22.507200000000001</v>
      </c>
      <c r="E17">
        <v>9.4810700000000008</v>
      </c>
      <c r="F17">
        <v>21.840039999999998</v>
      </c>
      <c r="G17">
        <v>1.3371599999999999</v>
      </c>
      <c r="H17">
        <v>0.21613903733121201</v>
      </c>
      <c r="I17">
        <v>0.17247999999999999</v>
      </c>
      <c r="J17">
        <v>-231413053812</v>
      </c>
      <c r="K17" s="1">
        <v>806531651801</v>
      </c>
      <c r="L17">
        <v>4676206827347</v>
      </c>
      <c r="M17">
        <v>147060946915</v>
      </c>
      <c r="N17">
        <v>977221009504</v>
      </c>
      <c r="O17" s="1">
        <v>133251182454</v>
      </c>
      <c r="P17" s="1">
        <v>443354569220</v>
      </c>
      <c r="Q17">
        <v>3198674282991</v>
      </c>
      <c r="R17">
        <v>2392142631190</v>
      </c>
      <c r="S17">
        <v>152660559540</v>
      </c>
      <c r="T17">
        <v>-6.45E-3</v>
      </c>
      <c r="U17">
        <f t="shared" si="0"/>
        <v>0.40203934583332235</v>
      </c>
      <c r="V17">
        <f t="shared" si="1"/>
        <v>-3.8824602893339981</v>
      </c>
      <c r="W17">
        <f t="shared" si="2"/>
        <v>0.45316848814963745</v>
      </c>
      <c r="X17">
        <f t="shared" si="3"/>
        <v>1</v>
      </c>
      <c r="Y17">
        <f t="shared" si="4"/>
        <v>0</v>
      </c>
      <c r="Z17">
        <f t="shared" si="5"/>
        <v>0</v>
      </c>
      <c r="AA17">
        <f t="shared" si="6"/>
        <v>0</v>
      </c>
    </row>
    <row r="18" spans="1:27" x14ac:dyDescent="0.35">
      <c r="A18">
        <v>2.4469654706282098</v>
      </c>
      <c r="B18" s="1">
        <v>6.4059047559270104</v>
      </c>
      <c r="C18">
        <v>2.8505325520477999E-2</v>
      </c>
      <c r="D18">
        <v>43.741030000000002</v>
      </c>
      <c r="E18">
        <v>15.365399999999999</v>
      </c>
      <c r="F18">
        <v>14.994730000000001</v>
      </c>
      <c r="G18">
        <v>1.03302</v>
      </c>
      <c r="H18">
        <v>0.10580842316904</v>
      </c>
      <c r="I18">
        <v>1.9429999999999999E-2</v>
      </c>
      <c r="J18">
        <v>-137027104396</v>
      </c>
      <c r="K18" s="1">
        <v>116191684251</v>
      </c>
      <c r="L18">
        <v>5978673938137</v>
      </c>
      <c r="M18">
        <v>140963556149</v>
      </c>
      <c r="N18">
        <v>563688066425</v>
      </c>
      <c r="O18" s="1">
        <v>130360626634</v>
      </c>
      <c r="P18" s="1">
        <v>918647221870</v>
      </c>
      <c r="Q18">
        <v>3635321504731</v>
      </c>
      <c r="R18">
        <v>3519129820480</v>
      </c>
      <c r="S18">
        <v>151860422301</v>
      </c>
      <c r="T18">
        <v>1.6760000000000001E-2</v>
      </c>
      <c r="U18">
        <f t="shared" si="0"/>
        <v>0.16214692093231209</v>
      </c>
      <c r="V18">
        <f t="shared" si="1"/>
        <v>-3.5181592968035234</v>
      </c>
      <c r="W18">
        <f t="shared" si="2"/>
        <v>0.17587835561983636</v>
      </c>
      <c r="X18">
        <f t="shared" si="3"/>
        <v>1</v>
      </c>
      <c r="Y18">
        <f t="shared" si="4"/>
        <v>0</v>
      </c>
      <c r="Z18">
        <f t="shared" si="5"/>
        <v>0</v>
      </c>
      <c r="AA18">
        <f t="shared" si="6"/>
        <v>0</v>
      </c>
    </row>
    <row r="19" spans="1:27" x14ac:dyDescent="0.35">
      <c r="A19">
        <v>1.70767106028621</v>
      </c>
      <c r="B19" s="1">
        <v>4.6079478673719896</v>
      </c>
      <c r="C19">
        <v>2.0720001968341999E-2</v>
      </c>
      <c r="D19">
        <v>32.1434</v>
      </c>
      <c r="E19">
        <v>12.4993</v>
      </c>
      <c r="F19">
        <v>21.40316</v>
      </c>
      <c r="G19">
        <v>0.96048999999999995</v>
      </c>
      <c r="H19">
        <v>9.6374348962365006E-2</v>
      </c>
      <c r="I19">
        <v>-2.2370000000000001E-2</v>
      </c>
      <c r="J19">
        <v>122114790323</v>
      </c>
      <c r="K19" s="1">
        <v>-141420301330</v>
      </c>
      <c r="L19">
        <v>6321024480878</v>
      </c>
      <c r="M19">
        <v>119352466360</v>
      </c>
      <c r="N19">
        <v>592687713783</v>
      </c>
      <c r="O19" s="1">
        <v>105019195202</v>
      </c>
      <c r="P19" s="1">
        <v>790083847272</v>
      </c>
      <c r="Q19">
        <v>3437620593864</v>
      </c>
      <c r="R19">
        <v>3579040895194</v>
      </c>
      <c r="S19">
        <v>127424887726</v>
      </c>
      <c r="T19">
        <v>2.8340000000000001E-2</v>
      </c>
      <c r="U19">
        <f t="shared" si="0"/>
        <v>9.83588481396971E-2</v>
      </c>
      <c r="V19">
        <f t="shared" si="1"/>
        <v>-3.6584621292078321</v>
      </c>
      <c r="W19">
        <f t="shared" si="2"/>
        <v>8.8971261677500302E-2</v>
      </c>
      <c r="X19">
        <f t="shared" si="3"/>
        <v>1</v>
      </c>
      <c r="Y19">
        <f t="shared" si="4"/>
        <v>0</v>
      </c>
      <c r="Z19">
        <f t="shared" si="5"/>
        <v>0</v>
      </c>
      <c r="AA19">
        <f t="shared" si="6"/>
        <v>0</v>
      </c>
    </row>
    <row r="20" spans="1:27" x14ac:dyDescent="0.35">
      <c r="A20" s="1">
        <v>1.7920060092438299</v>
      </c>
      <c r="B20" s="1">
        <v>4.6169341654962199</v>
      </c>
      <c r="C20" s="1">
        <v>2.2353666817434999E-2</v>
      </c>
      <c r="D20" s="1">
        <v>46.468389999999999</v>
      </c>
      <c r="E20" s="1">
        <v>18.004290000000001</v>
      </c>
      <c r="F20" s="1">
        <v>10.67938</v>
      </c>
      <c r="G20" s="1">
        <v>1.3325499999999999</v>
      </c>
      <c r="H20" s="1">
        <v>0.100573386005539</v>
      </c>
      <c r="I20" s="1">
        <v>0.12886</v>
      </c>
      <c r="J20" s="1">
        <v>1956752242</v>
      </c>
      <c r="K20" s="1">
        <v>856140950000</v>
      </c>
      <c r="L20">
        <v>6643815019188</v>
      </c>
      <c r="M20">
        <v>130736060395</v>
      </c>
      <c r="N20">
        <v>651958903770</v>
      </c>
      <c r="O20" s="1">
        <v>116165351465</v>
      </c>
      <c r="P20" s="1">
        <v>1196171992310</v>
      </c>
      <c r="Q20">
        <v>3430583376693</v>
      </c>
      <c r="R20">
        <v>2574442426693</v>
      </c>
      <c r="S20">
        <v>144905851263</v>
      </c>
      <c r="T20">
        <v>4.4450000000000003E-2</v>
      </c>
      <c r="U20">
        <f t="shared" si="0"/>
        <v>0.27245578550805216</v>
      </c>
      <c r="V20">
        <f t="shared" si="1"/>
        <v>-3.3471063352031956</v>
      </c>
      <c r="W20">
        <f t="shared" si="2"/>
        <v>0.3441468765028704</v>
      </c>
      <c r="X20">
        <f t="shared" si="3"/>
        <v>1</v>
      </c>
      <c r="Y20">
        <f t="shared" si="4"/>
        <v>0</v>
      </c>
      <c r="Z20">
        <f t="shared" si="5"/>
        <v>0</v>
      </c>
      <c r="AA20">
        <f t="shared" si="6"/>
        <v>0</v>
      </c>
    </row>
    <row r="21" spans="1:27" x14ac:dyDescent="0.35">
      <c r="A21">
        <v>0.63578400944938196</v>
      </c>
      <c r="B21" s="1">
        <v>1.6491156313539601</v>
      </c>
      <c r="C21">
        <v>8.134858987917E-3</v>
      </c>
      <c r="D21">
        <v>47.368099999999998</v>
      </c>
      <c r="E21">
        <v>18.17323</v>
      </c>
      <c r="F21">
        <v>5.1385899999999998</v>
      </c>
      <c r="G21">
        <v>1.4407399999999999</v>
      </c>
      <c r="H21">
        <v>4.4607427951051E-2</v>
      </c>
      <c r="I21">
        <v>0.16350000000000001</v>
      </c>
      <c r="J21">
        <v>-54910515409</v>
      </c>
      <c r="K21" s="1">
        <v>1115258132092</v>
      </c>
      <c r="L21">
        <v>6821060839225</v>
      </c>
      <c r="M21">
        <v>49015163985</v>
      </c>
      <c r="N21">
        <v>300316739862</v>
      </c>
      <c r="O21" s="1">
        <v>42803763800</v>
      </c>
      <c r="P21" s="1">
        <v>1239607366299</v>
      </c>
      <c r="Q21">
        <v>3645676111943</v>
      </c>
      <c r="R21">
        <v>2530417979851</v>
      </c>
      <c r="S21">
        <v>54767433199</v>
      </c>
      <c r="T21">
        <v>4.9570000000000003E-2</v>
      </c>
      <c r="U21">
        <f t="shared" si="0"/>
        <v>0.22345235667910754</v>
      </c>
      <c r="V21">
        <f t="shared" si="1"/>
        <v>-3.2866012438587768</v>
      </c>
      <c r="W21">
        <f t="shared" si="2"/>
        <v>0.35421023878337582</v>
      </c>
      <c r="X21">
        <f t="shared" si="3"/>
        <v>1</v>
      </c>
      <c r="Y21">
        <f t="shared" si="4"/>
        <v>0</v>
      </c>
      <c r="Z21">
        <f t="shared" si="5"/>
        <v>0</v>
      </c>
      <c r="AA21">
        <f t="shared" si="6"/>
        <v>0</v>
      </c>
    </row>
    <row r="22" spans="1:27" x14ac:dyDescent="0.35">
      <c r="A22" s="1" t="s">
        <v>3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t="e">
        <f t="shared" si="0"/>
        <v>#VALUE!</v>
      </c>
      <c r="V22" t="e">
        <f t="shared" si="1"/>
        <v>#VALUE!</v>
      </c>
      <c r="W22" t="e">
        <f t="shared" si="2"/>
        <v>#VALUE!</v>
      </c>
      <c r="X22" t="e">
        <f t="shared" si="3"/>
        <v>#VALUE!</v>
      </c>
      <c r="Y22" t="e">
        <f t="shared" si="4"/>
        <v>#VALUE!</v>
      </c>
      <c r="Z22" t="e">
        <f t="shared" si="5"/>
        <v>#VALUE!</v>
      </c>
      <c r="AA22" t="e">
        <f t="shared" si="6"/>
        <v>#VALUE!</v>
      </c>
    </row>
    <row r="23" spans="1:27" x14ac:dyDescent="0.35">
      <c r="A23" s="1" t="s">
        <v>3</v>
      </c>
      <c r="B23" s="1" t="s">
        <v>3</v>
      </c>
      <c r="C23" s="1" t="s">
        <v>3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t="e">
        <f t="shared" si="0"/>
        <v>#VALUE!</v>
      </c>
      <c r="V23" t="e">
        <f t="shared" si="1"/>
        <v>#VALUE!</v>
      </c>
      <c r="W23" t="e">
        <f t="shared" si="2"/>
        <v>#VALUE!</v>
      </c>
      <c r="X23" t="e">
        <f t="shared" si="3"/>
        <v>#VALUE!</v>
      </c>
      <c r="Y23" t="e">
        <f t="shared" si="4"/>
        <v>#VALUE!</v>
      </c>
      <c r="Z23" t="e">
        <f t="shared" si="5"/>
        <v>#VALUE!</v>
      </c>
      <c r="AA23" t="e">
        <f t="shared" si="6"/>
        <v>#VALUE!</v>
      </c>
    </row>
    <row r="24" spans="1:27" x14ac:dyDescent="0.35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t="e">
        <f t="shared" si="0"/>
        <v>#VALUE!</v>
      </c>
      <c r="V24" t="e">
        <f t="shared" si="1"/>
        <v>#VALUE!</v>
      </c>
      <c r="W24" t="e">
        <f t="shared" si="2"/>
        <v>#VALUE!</v>
      </c>
      <c r="X24" t="e">
        <f t="shared" si="3"/>
        <v>#VALUE!</v>
      </c>
      <c r="Y24" t="e">
        <f t="shared" si="4"/>
        <v>#VALUE!</v>
      </c>
      <c r="Z24" t="e">
        <f t="shared" si="5"/>
        <v>#VALUE!</v>
      </c>
      <c r="AA24" t="e">
        <f t="shared" si="6"/>
        <v>#VALUE!</v>
      </c>
    </row>
    <row r="25" spans="1:27" x14ac:dyDescent="0.35">
      <c r="A25" s="1" t="s">
        <v>3</v>
      </c>
      <c r="B25" s="1" t="s">
        <v>3</v>
      </c>
      <c r="C25" s="1" t="s">
        <v>3</v>
      </c>
      <c r="D25" s="1">
        <v>79.396159999999995</v>
      </c>
      <c r="E25" s="1">
        <v>32.6233</v>
      </c>
      <c r="F25" s="1">
        <v>-1187.5282500000001</v>
      </c>
      <c r="G25" s="1">
        <v>2.7275</v>
      </c>
      <c r="H25" s="1" t="s">
        <v>3</v>
      </c>
      <c r="I25" s="1">
        <v>0.53722000000000003</v>
      </c>
      <c r="J25" s="1">
        <v>-188956354000</v>
      </c>
      <c r="K25" s="1">
        <v>843949941000</v>
      </c>
      <c r="L25" s="1">
        <v>1570963010000</v>
      </c>
      <c r="M25" s="1">
        <v>13281167000</v>
      </c>
      <c r="N25" s="1">
        <v>492607553000</v>
      </c>
      <c r="O25" s="1">
        <v>10490661000</v>
      </c>
      <c r="P25" s="1">
        <v>512500000000</v>
      </c>
      <c r="Q25" s="1">
        <v>1332488793000</v>
      </c>
      <c r="R25" s="1">
        <v>488538852000</v>
      </c>
      <c r="S25" s="1">
        <v>-11519024000</v>
      </c>
      <c r="T25" s="1">
        <v>-3.2299999999999998E-3</v>
      </c>
      <c r="U25">
        <f t="shared" si="0"/>
        <v>0.67419470171883267</v>
      </c>
      <c r="V25">
        <f t="shared" si="1"/>
        <v>-2.4596121604221781</v>
      </c>
      <c r="W25">
        <f t="shared" si="2"/>
        <v>0.91855720212024605</v>
      </c>
      <c r="X25">
        <f t="shared" si="3"/>
        <v>1</v>
      </c>
      <c r="Y25">
        <f t="shared" si="4"/>
        <v>0</v>
      </c>
      <c r="Z25">
        <f t="shared" si="5"/>
        <v>0</v>
      </c>
      <c r="AA25">
        <f t="shared" si="6"/>
        <v>0</v>
      </c>
    </row>
    <row r="26" spans="1:27" x14ac:dyDescent="0.35">
      <c r="A26" s="1">
        <v>-1.1636587958248099</v>
      </c>
      <c r="B26" s="1">
        <v>-2.2273975944728099</v>
      </c>
      <c r="C26" s="1">
        <v>-2.3267299607318999E-2</v>
      </c>
      <c r="D26" s="1">
        <v>159.05088000000001</v>
      </c>
      <c r="E26" s="1">
        <v>40.829000000000001</v>
      </c>
      <c r="F26" s="1">
        <v>-80.053110000000004</v>
      </c>
      <c r="G26" s="1">
        <v>1.3411999999999999</v>
      </c>
      <c r="H26" s="1">
        <v>0.376284158786659</v>
      </c>
      <c r="I26" s="1">
        <v>0.12300999999999999</v>
      </c>
      <c r="J26" s="1">
        <v>740610412000</v>
      </c>
      <c r="K26" s="1">
        <v>336362896000</v>
      </c>
      <c r="L26" s="1">
        <v>2734460554000</v>
      </c>
      <c r="M26" s="1">
        <v>-19205198000</v>
      </c>
      <c r="N26" s="1">
        <v>810031342000</v>
      </c>
      <c r="O26" s="1">
        <v>-25050220000</v>
      </c>
      <c r="P26" s="1">
        <v>1116452873000</v>
      </c>
      <c r="Q26" s="1">
        <v>1322179536000</v>
      </c>
      <c r="R26" s="1">
        <v>985816640000</v>
      </c>
      <c r="S26" s="1">
        <v>-50087790000</v>
      </c>
      <c r="T26" s="1">
        <v>3.6999999999999999E-4</v>
      </c>
      <c r="U26">
        <f t="shared" si="0"/>
        <v>0.17609969313221296</v>
      </c>
      <c r="V26">
        <f t="shared" si="1"/>
        <v>-1.9261580311910114</v>
      </c>
      <c r="W26">
        <f t="shared" si="2"/>
        <v>0.1974661468449912</v>
      </c>
      <c r="X26">
        <f t="shared" si="3"/>
        <v>1</v>
      </c>
      <c r="Y26">
        <f t="shared" si="4"/>
        <v>0</v>
      </c>
      <c r="Z26">
        <f t="shared" si="5"/>
        <v>0</v>
      </c>
      <c r="AA26">
        <f t="shared" si="6"/>
        <v>0</v>
      </c>
    </row>
    <row r="27" spans="1:27" x14ac:dyDescent="0.35">
      <c r="A27" s="1">
        <v>0.76365437785367696</v>
      </c>
      <c r="B27" s="1">
        <v>3.6397001118869001</v>
      </c>
      <c r="C27" s="1">
        <v>2.4249761436926E-2</v>
      </c>
      <c r="D27" s="1">
        <v>117.64604</v>
      </c>
      <c r="E27" s="1">
        <v>37.698979999999999</v>
      </c>
      <c r="F27" s="1">
        <v>3.6284999999999998</v>
      </c>
      <c r="G27" s="1">
        <v>1.51786</v>
      </c>
      <c r="H27" s="1">
        <v>0.238538749839869</v>
      </c>
      <c r="I27" s="1">
        <v>0.18831999999999999</v>
      </c>
      <c r="J27" s="1">
        <v>-531441064000</v>
      </c>
      <c r="K27" s="1">
        <v>836534673000</v>
      </c>
      <c r="L27" s="1">
        <v>4442174006000</v>
      </c>
      <c r="M27" s="1">
        <v>69851720000</v>
      </c>
      <c r="N27" s="1">
        <v>855952718000</v>
      </c>
      <c r="O27" s="1">
        <v>27402342000</v>
      </c>
      <c r="P27" s="1">
        <v>1674654507000</v>
      </c>
      <c r="Q27" s="1">
        <v>2451908335000</v>
      </c>
      <c r="R27" s="1">
        <v>1615373662000</v>
      </c>
      <c r="S27" s="1">
        <v>87015838000</v>
      </c>
      <c r="T27" s="1">
        <v>7.7999999999999996E-3</v>
      </c>
      <c r="U27">
        <f t="shared" si="0"/>
        <v>0.35971763758042752</v>
      </c>
      <c r="V27">
        <f t="shared" si="1"/>
        <v>-2.1728454803802988</v>
      </c>
      <c r="W27">
        <f t="shared" si="2"/>
        <v>0.43450042168744346</v>
      </c>
      <c r="X27">
        <f t="shared" si="3"/>
        <v>1</v>
      </c>
      <c r="Y27">
        <f t="shared" si="4"/>
        <v>0</v>
      </c>
      <c r="Z27">
        <f t="shared" si="5"/>
        <v>0</v>
      </c>
      <c r="AA27">
        <f t="shared" si="6"/>
        <v>0</v>
      </c>
    </row>
    <row r="28" spans="1:27" x14ac:dyDescent="0.35">
      <c r="A28" s="1">
        <v>4.6206073535439902</v>
      </c>
      <c r="B28" s="1">
        <v>9.1923202102475408</v>
      </c>
      <c r="C28" s="1">
        <v>5.4778869131287003E-2</v>
      </c>
      <c r="D28" s="1">
        <v>48.523940000000003</v>
      </c>
      <c r="E28" s="1">
        <v>26.375450000000001</v>
      </c>
      <c r="F28" s="1">
        <v>18.252659999999999</v>
      </c>
      <c r="G28" s="1">
        <v>3.0012500000000002</v>
      </c>
      <c r="H28" s="1">
        <v>0.317870668566966</v>
      </c>
      <c r="I28" s="1">
        <v>0.38485000000000003</v>
      </c>
      <c r="J28" s="1">
        <v>-1015186458000</v>
      </c>
      <c r="K28" s="1">
        <v>2984867234000</v>
      </c>
      <c r="L28">
        <v>7755988289000</v>
      </c>
      <c r="M28">
        <v>382490373000</v>
      </c>
      <c r="N28">
        <v>1938719002000</v>
      </c>
      <c r="O28" s="1">
        <v>281814592000</v>
      </c>
      <c r="P28">
        <v>2045676675000</v>
      </c>
      <c r="Q28">
        <v>4476370968000</v>
      </c>
      <c r="R28">
        <v>1491503734000</v>
      </c>
      <c r="S28">
        <v>334100768000</v>
      </c>
      <c r="T28">
        <v>3.6159999999999998E-2</v>
      </c>
      <c r="U28">
        <f t="shared" si="0"/>
        <v>0.79787713976621233</v>
      </c>
      <c r="V28">
        <f t="shared" si="1"/>
        <v>-2.948102403427562</v>
      </c>
      <c r="W28">
        <f t="shared" si="2"/>
        <v>0.8392109520779345</v>
      </c>
      <c r="X28">
        <f t="shared" si="3"/>
        <v>1</v>
      </c>
      <c r="Y28">
        <f t="shared" si="4"/>
        <v>0</v>
      </c>
      <c r="Z28">
        <f t="shared" si="5"/>
        <v>0</v>
      </c>
      <c r="AA28">
        <f t="shared" si="6"/>
        <v>0</v>
      </c>
    </row>
    <row r="29" spans="1:27" x14ac:dyDescent="0.35">
      <c r="A29" s="1">
        <v>7.3666660460526101</v>
      </c>
      <c r="B29" s="1">
        <v>131.24503585836499</v>
      </c>
      <c r="C29" s="1">
        <v>8.9327707450626001E-2</v>
      </c>
      <c r="D29" s="1">
        <v>68.152540000000002</v>
      </c>
      <c r="E29" s="1">
        <v>31.6357</v>
      </c>
      <c r="F29" s="1">
        <v>6.7391199999999998</v>
      </c>
      <c r="G29" s="1">
        <v>1.8291200000000001</v>
      </c>
      <c r="H29" s="1">
        <v>0.41130823738850097</v>
      </c>
      <c r="I29" s="1">
        <v>0.19599</v>
      </c>
      <c r="J29" s="1">
        <v>-238467472000</v>
      </c>
      <c r="K29" s="1">
        <v>2124268699000</v>
      </c>
      <c r="L29">
        <v>10838820997000</v>
      </c>
      <c r="M29">
        <v>888230223000</v>
      </c>
      <c r="N29">
        <v>3824099116000</v>
      </c>
      <c r="O29">
        <v>684908751000</v>
      </c>
      <c r="P29">
        <v>3428936967000</v>
      </c>
      <c r="Q29">
        <v>4686331283000</v>
      </c>
      <c r="R29">
        <v>2562062584000</v>
      </c>
      <c r="S29">
        <v>830515842000</v>
      </c>
      <c r="T29">
        <v>7.9619999999999996E-2</v>
      </c>
      <c r="U29">
        <f t="shared" si="0"/>
        <v>0.80704144688092405</v>
      </c>
      <c r="V29">
        <f t="shared" si="1"/>
        <v>-2.7738050802371221</v>
      </c>
      <c r="W29">
        <f t="shared" si="2"/>
        <v>0.6422184311642064</v>
      </c>
      <c r="X29">
        <f t="shared" si="3"/>
        <v>1</v>
      </c>
      <c r="Y29">
        <f t="shared" si="4"/>
        <v>0</v>
      </c>
      <c r="Z29">
        <f t="shared" si="5"/>
        <v>0</v>
      </c>
      <c r="AA29">
        <f t="shared" si="6"/>
        <v>0</v>
      </c>
    </row>
    <row r="30" spans="1:27" x14ac:dyDescent="0.35">
      <c r="A30" s="1">
        <v>6.2357846376055903</v>
      </c>
      <c r="B30" s="1">
        <v>17.375614234589499</v>
      </c>
      <c r="C30" s="1">
        <v>0.16626715926396299</v>
      </c>
      <c r="D30" s="1">
        <v>70.647109999999998</v>
      </c>
      <c r="E30" s="1">
        <v>29.517130000000002</v>
      </c>
      <c r="F30" s="1">
        <v>1.6874100000000001</v>
      </c>
      <c r="G30" s="1">
        <v>1.5648500000000001</v>
      </c>
      <c r="H30" s="1">
        <v>0.36024783358402701</v>
      </c>
      <c r="I30" s="1">
        <v>0.1598</v>
      </c>
      <c r="J30" s="1">
        <v>1303259826000</v>
      </c>
      <c r="K30" s="1">
        <v>2428216616000</v>
      </c>
      <c r="L30">
        <v>15195642352000</v>
      </c>
      <c r="M30">
        <v>1097546731000</v>
      </c>
      <c r="N30">
        <v>4689429510000</v>
      </c>
      <c r="O30">
        <v>841290753000</v>
      </c>
      <c r="P30">
        <v>4485316752000</v>
      </c>
      <c r="Q30">
        <v>6727059278000</v>
      </c>
      <c r="R30">
        <v>4298842662000</v>
      </c>
      <c r="S30">
        <v>2164338132000</v>
      </c>
      <c r="T30">
        <v>0.10213999999999999</v>
      </c>
      <c r="U30">
        <f t="shared" si="0"/>
        <v>0.89380295971609591</v>
      </c>
      <c r="V30">
        <f t="shared" si="1"/>
        <v>-2.8604022250739196</v>
      </c>
      <c r="W30">
        <f t="shared" si="2"/>
        <v>0.80638754190126249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6"/>
        <v>0</v>
      </c>
    </row>
    <row r="31" spans="1:27" x14ac:dyDescent="0.35">
      <c r="A31" s="1">
        <v>5.3346281919834704</v>
      </c>
      <c r="B31" s="1">
        <v>15.7946725012704</v>
      </c>
      <c r="C31" s="1">
        <v>7.3152055059488005E-2</v>
      </c>
      <c r="D31" s="1">
        <v>75.678179999999998</v>
      </c>
      <c r="E31" s="1">
        <v>27.736039999999999</v>
      </c>
      <c r="F31" s="1">
        <v>2.71882</v>
      </c>
      <c r="G31" s="1">
        <v>1.67933</v>
      </c>
      <c r="H31" s="1">
        <v>0.281067463274628</v>
      </c>
      <c r="I31" s="1">
        <v>0.17979999999999999</v>
      </c>
      <c r="J31" s="1">
        <v>1611340853000</v>
      </c>
      <c r="K31" s="1">
        <v>3538407989000</v>
      </c>
      <c r="L31">
        <v>19679908990000</v>
      </c>
      <c r="M31">
        <v>1177175519000</v>
      </c>
      <c r="N31">
        <v>4901191373000</v>
      </c>
      <c r="O31">
        <v>930240497000</v>
      </c>
      <c r="P31">
        <v>5458427837000</v>
      </c>
      <c r="Q31">
        <v>8747046806000</v>
      </c>
      <c r="R31">
        <v>5208638817000</v>
      </c>
      <c r="S31">
        <v>1275609126000</v>
      </c>
      <c r="T31">
        <v>0.11588</v>
      </c>
      <c r="U31">
        <f t="shared" si="0"/>
        <v>0.63296378788394292</v>
      </c>
      <c r="V31">
        <f t="shared" si="1"/>
        <v>-2.925036678382162</v>
      </c>
      <c r="W31">
        <f t="shared" si="2"/>
        <v>0.57506288839479025</v>
      </c>
      <c r="X31">
        <f t="shared" si="3"/>
        <v>1</v>
      </c>
      <c r="Y31">
        <f t="shared" si="4"/>
        <v>0</v>
      </c>
      <c r="Z31">
        <f t="shared" si="5"/>
        <v>0</v>
      </c>
      <c r="AA31">
        <f t="shared" si="6"/>
        <v>0</v>
      </c>
    </row>
    <row r="32" spans="1:27" x14ac:dyDescent="0.35">
      <c r="A32" s="1">
        <v>4.5375355963904997</v>
      </c>
      <c r="B32" s="1">
        <v>14.0169008544032</v>
      </c>
      <c r="C32" s="1">
        <v>6.5930887685707998E-2</v>
      </c>
      <c r="D32" s="1">
        <v>76.644570000000002</v>
      </c>
      <c r="E32" s="1">
        <v>27.384519999999998</v>
      </c>
      <c r="F32" s="1">
        <v>2.3455900000000001</v>
      </c>
      <c r="G32" s="1">
        <v>1.83229</v>
      </c>
      <c r="H32" s="1">
        <v>0.24427236324892601</v>
      </c>
      <c r="I32" s="1">
        <v>0.20938999999999999</v>
      </c>
      <c r="J32" s="1">
        <v>825596494000</v>
      </c>
      <c r="K32" s="1">
        <v>4959582060000</v>
      </c>
      <c r="L32">
        <v>23686158211000</v>
      </c>
      <c r="M32">
        <v>1229697293000</v>
      </c>
      <c r="N32">
        <v>5296565860000</v>
      </c>
      <c r="O32">
        <v>983875368000</v>
      </c>
      <c r="P32">
        <v>6486341559000</v>
      </c>
      <c r="Q32">
        <v>10918551266000</v>
      </c>
      <c r="R32">
        <v>5958969206000</v>
      </c>
      <c r="S32">
        <v>1429581653000</v>
      </c>
      <c r="T32">
        <v>0.12717999999999999</v>
      </c>
      <c r="U32">
        <f t="shared" si="0"/>
        <v>0.62660313559342107</v>
      </c>
      <c r="V32">
        <f t="shared" si="1"/>
        <v>-2.9186739551313976</v>
      </c>
      <c r="W32">
        <f t="shared" si="2"/>
        <v>0.60860268015234198</v>
      </c>
      <c r="X32">
        <f t="shared" si="3"/>
        <v>1</v>
      </c>
      <c r="Y32">
        <f t="shared" si="4"/>
        <v>0</v>
      </c>
      <c r="Z32">
        <f t="shared" si="5"/>
        <v>0</v>
      </c>
      <c r="AA32">
        <f t="shared" si="6"/>
        <v>0</v>
      </c>
    </row>
    <row r="33" spans="1:27" x14ac:dyDescent="0.35">
      <c r="A33" s="1">
        <v>4.6295190558375001</v>
      </c>
      <c r="B33" s="1">
        <v>12.208260597786699</v>
      </c>
      <c r="C33" s="1">
        <v>6.9986604301656999E-2</v>
      </c>
      <c r="D33" s="1">
        <v>69.614099999999993</v>
      </c>
      <c r="E33" s="1">
        <v>25.716889999999999</v>
      </c>
      <c r="F33" s="1">
        <v>2.4803299999999999</v>
      </c>
      <c r="G33" s="1">
        <v>1.3891800000000001</v>
      </c>
      <c r="H33" s="1">
        <v>0.247550657485096</v>
      </c>
      <c r="I33" s="1">
        <v>0.11158</v>
      </c>
      <c r="J33" s="1">
        <v>-177962073000</v>
      </c>
      <c r="K33" s="1">
        <v>2740356748000</v>
      </c>
      <c r="L33">
        <v>24559174988000</v>
      </c>
      <c r="M33">
        <v>1456622823000</v>
      </c>
      <c r="N33">
        <v>5971581977000</v>
      </c>
      <c r="O33">
        <v>1116763447000</v>
      </c>
      <c r="P33">
        <v>6315856976000</v>
      </c>
      <c r="Q33">
        <v>9781716400000</v>
      </c>
      <c r="R33">
        <v>7041359652000</v>
      </c>
      <c r="S33">
        <v>1688263522000</v>
      </c>
      <c r="T33">
        <v>0.15553</v>
      </c>
      <c r="U33">
        <f t="shared" si="0"/>
        <v>0.55976159839554562</v>
      </c>
      <c r="V33">
        <f t="shared" si="1"/>
        <v>-3.0332059105689684</v>
      </c>
      <c r="W33">
        <f t="shared" si="2"/>
        <v>0.47583759870867209</v>
      </c>
      <c r="X33">
        <f t="shared" si="3"/>
        <v>1</v>
      </c>
      <c r="Y33">
        <f t="shared" si="4"/>
        <v>0</v>
      </c>
      <c r="Z33">
        <f t="shared" si="5"/>
        <v>0</v>
      </c>
      <c r="AA33">
        <f t="shared" si="6"/>
        <v>0</v>
      </c>
    </row>
    <row r="34" spans="1:27" x14ac:dyDescent="0.35">
      <c r="A34" s="1">
        <v>3.7386752136671801</v>
      </c>
      <c r="B34" s="1">
        <v>8.8258963485492501</v>
      </c>
      <c r="C34" s="1">
        <v>6.7660445354750007E-2</v>
      </c>
      <c r="D34" s="1">
        <v>65.325519999999997</v>
      </c>
      <c r="E34" s="1">
        <v>25.33239</v>
      </c>
      <c r="F34" s="1">
        <v>2.55104</v>
      </c>
      <c r="G34" s="1">
        <v>1.0678300000000001</v>
      </c>
      <c r="H34" s="1">
        <v>0.23898218789872</v>
      </c>
      <c r="I34" s="1">
        <v>2.019E-2</v>
      </c>
      <c r="J34" s="1">
        <v>-345352067000</v>
      </c>
      <c r="K34" s="1">
        <v>519206171000</v>
      </c>
      <c r="L34">
        <v>25711953382000</v>
      </c>
      <c r="M34">
        <v>1244984619000</v>
      </c>
      <c r="N34">
        <v>6006952123000</v>
      </c>
      <c r="O34" s="1">
        <v>939737108000</v>
      </c>
      <c r="P34" s="1">
        <v>6513452655000</v>
      </c>
      <c r="Q34">
        <v>8173958870000</v>
      </c>
      <c r="R34">
        <v>7654752699000</v>
      </c>
      <c r="S34">
        <v>1700683467000</v>
      </c>
      <c r="T34">
        <v>0.17313000000000001</v>
      </c>
      <c r="U34">
        <f t="shared" si="0"/>
        <v>0.42465380766859362</v>
      </c>
      <c r="V34">
        <f t="shared" si="1"/>
        <v>-3.0162512926643918</v>
      </c>
      <c r="W34">
        <f t="shared" si="2"/>
        <v>0.31605664958964258</v>
      </c>
      <c r="X34">
        <f t="shared" si="3"/>
        <v>1</v>
      </c>
      <c r="Y34">
        <f t="shared" si="4"/>
        <v>0</v>
      </c>
      <c r="Z34">
        <f t="shared" si="5"/>
        <v>0</v>
      </c>
      <c r="AA34">
        <f t="shared" si="6"/>
        <v>0</v>
      </c>
    </row>
    <row r="35" spans="1:27" x14ac:dyDescent="0.35">
      <c r="A35" s="1">
        <v>6.9082932845047704</v>
      </c>
      <c r="B35" s="1">
        <v>16.838341789689601</v>
      </c>
      <c r="C35" s="1">
        <v>7.4811272767914994E-2</v>
      </c>
      <c r="D35" s="1">
        <v>80.318899999999999</v>
      </c>
      <c r="E35" s="1">
        <v>32.074359999999999</v>
      </c>
      <c r="F35" s="1">
        <v>2.5705300000000002</v>
      </c>
      <c r="G35" s="1">
        <v>1.30647</v>
      </c>
      <c r="H35" s="1">
        <v>0.258450245286169</v>
      </c>
      <c r="I35" s="1">
        <v>7.6859999999999998E-2</v>
      </c>
      <c r="J35" s="1">
        <v>-656257409000</v>
      </c>
      <c r="K35" s="1">
        <v>2212750922000</v>
      </c>
      <c r="L35" s="1">
        <v>28790116014000</v>
      </c>
      <c r="M35" s="1">
        <v>2181757138000</v>
      </c>
      <c r="N35" s="1">
        <v>7043036602000</v>
      </c>
      <c r="O35" s="1">
        <v>1882581400000</v>
      </c>
      <c r="P35" s="1">
        <v>9234246068000</v>
      </c>
      <c r="Q35" s="1">
        <v>9432973701000</v>
      </c>
      <c r="R35" s="1">
        <v>7220222779000</v>
      </c>
      <c r="S35" s="1">
        <v>2038684590000</v>
      </c>
      <c r="T35" s="1">
        <v>0.20091999999999999</v>
      </c>
      <c r="U35">
        <f t="shared" si="0"/>
        <v>0.59384425382052775</v>
      </c>
      <c r="V35">
        <f t="shared" si="1"/>
        <v>-2.760789825681023</v>
      </c>
      <c r="W35">
        <f t="shared" si="2"/>
        <v>0.42590586557189686</v>
      </c>
      <c r="X35">
        <f t="shared" si="3"/>
        <v>1</v>
      </c>
      <c r="Y35">
        <f t="shared" si="4"/>
        <v>0</v>
      </c>
      <c r="Z35">
        <f t="shared" si="5"/>
        <v>0</v>
      </c>
      <c r="AA35">
        <f t="shared" si="6"/>
        <v>0</v>
      </c>
    </row>
    <row r="36" spans="1:27" x14ac:dyDescent="0.35">
      <c r="A36" s="1">
        <v>0.70504192500218199</v>
      </c>
      <c r="B36" s="1">
        <v>0.47368696463840398</v>
      </c>
      <c r="C36" s="1">
        <v>3.9085907456128E-2</v>
      </c>
      <c r="D36" s="1">
        <v>85.80659</v>
      </c>
      <c r="E36" s="1">
        <v>35.179139999999997</v>
      </c>
      <c r="F36" s="1">
        <v>1.3630500000000001</v>
      </c>
      <c r="G36" s="1">
        <v>1.0495000000000001</v>
      </c>
      <c r="H36" s="1">
        <v>0.17251961812118399</v>
      </c>
      <c r="I36" s="1">
        <v>1.319E-2</v>
      </c>
      <c r="J36" s="1">
        <v>-745468689000</v>
      </c>
      <c r="K36" s="1">
        <v>390336860000</v>
      </c>
      <c r="L36" s="1">
        <v>29583829904000</v>
      </c>
      <c r="M36" s="1">
        <v>388723898000</v>
      </c>
      <c r="N36" s="1">
        <v>5035325429000</v>
      </c>
      <c r="O36" s="1">
        <v>205780396000</v>
      </c>
      <c r="P36" s="1">
        <v>10407337325000</v>
      </c>
      <c r="Q36" s="1">
        <v>8275422732000</v>
      </c>
      <c r="R36" s="1">
        <v>7885085872000</v>
      </c>
      <c r="S36" s="1">
        <v>1140799324000</v>
      </c>
      <c r="T36" s="1">
        <v>0.19386999999999999</v>
      </c>
      <c r="U36">
        <f t="shared" si="0"/>
        <v>0.23259337653724382</v>
      </c>
      <c r="V36">
        <f t="shared" si="1"/>
        <v>-2.3218922142547682</v>
      </c>
      <c r="W36">
        <f t="shared" si="2"/>
        <v>0.21014545881767044</v>
      </c>
      <c r="X36">
        <f t="shared" si="3"/>
        <v>1</v>
      </c>
      <c r="Y36">
        <f t="shared" si="4"/>
        <v>0</v>
      </c>
      <c r="Z36">
        <f t="shared" si="5"/>
        <v>0</v>
      </c>
      <c r="AA36">
        <f t="shared" si="6"/>
        <v>0</v>
      </c>
    </row>
    <row r="37" spans="1:27" x14ac:dyDescent="0.35">
      <c r="A37" s="1">
        <v>0.40922477799965201</v>
      </c>
      <c r="B37" s="1">
        <v>-9.4970314020771995E-2</v>
      </c>
      <c r="C37" s="1">
        <v>2.6089768320371E-2</v>
      </c>
      <c r="D37" s="1">
        <v>76.388670000000005</v>
      </c>
      <c r="E37" s="1">
        <v>33.282730000000001</v>
      </c>
      <c r="F37" s="1">
        <v>0.88202999999999998</v>
      </c>
      <c r="G37" s="1">
        <v>1.66431</v>
      </c>
      <c r="H37" s="1">
        <v>0.12846231175311401</v>
      </c>
      <c r="I37" s="1">
        <v>0.11070000000000001</v>
      </c>
      <c r="J37" s="1">
        <v>546762723000</v>
      </c>
      <c r="K37" s="1">
        <v>3261406483000</v>
      </c>
      <c r="L37">
        <v>29460345080000</v>
      </c>
      <c r="M37">
        <v>284260214000</v>
      </c>
      <c r="N37">
        <v>3792475607000</v>
      </c>
      <c r="O37" s="1">
        <v>120811697000</v>
      </c>
      <c r="P37" s="1">
        <v>9805208092000</v>
      </c>
      <c r="Q37">
        <v>8170838065000</v>
      </c>
      <c r="R37">
        <v>4909431582000</v>
      </c>
      <c r="S37">
        <v>770224423000</v>
      </c>
      <c r="T37">
        <v>0.19438</v>
      </c>
      <c r="U37">
        <f t="shared" si="0"/>
        <v>0.28399673668936798</v>
      </c>
      <c r="V37">
        <f t="shared" si="1"/>
        <v>-2.414680651141309</v>
      </c>
      <c r="W37">
        <f t="shared" si="2"/>
        <v>0.32872450282764981</v>
      </c>
      <c r="X37">
        <f t="shared" si="3"/>
        <v>1</v>
      </c>
      <c r="Y37">
        <f t="shared" si="4"/>
        <v>0</v>
      </c>
      <c r="Z37">
        <f t="shared" si="5"/>
        <v>0</v>
      </c>
      <c r="AA37">
        <f t="shared" si="6"/>
        <v>0</v>
      </c>
    </row>
    <row r="38" spans="1:27" x14ac:dyDescent="0.35">
      <c r="A38">
        <v>0.60197011226880004</v>
      </c>
      <c r="B38" s="1">
        <v>-1.52044400331746</v>
      </c>
      <c r="C38">
        <v>4.1919622983019003E-2</v>
      </c>
      <c r="D38">
        <v>87.692679999999996</v>
      </c>
      <c r="E38">
        <v>32.76491</v>
      </c>
      <c r="F38">
        <v>1.5213099999999999</v>
      </c>
      <c r="G38">
        <v>1.89588</v>
      </c>
      <c r="H38">
        <v>0.165620167145408</v>
      </c>
      <c r="I38">
        <v>0.18154999999999999</v>
      </c>
      <c r="J38">
        <v>981780217000</v>
      </c>
      <c r="K38" s="1">
        <v>5517664514000</v>
      </c>
      <c r="L38">
        <v>30391359956000</v>
      </c>
      <c r="M38">
        <v>394699793000</v>
      </c>
      <c r="N38">
        <v>4956324696000</v>
      </c>
      <c r="O38" s="1">
        <v>180144688000</v>
      </c>
      <c r="P38" s="1">
        <v>9957701238000</v>
      </c>
      <c r="Q38">
        <v>11676576495000</v>
      </c>
      <c r="R38">
        <v>6158911981000</v>
      </c>
      <c r="S38">
        <v>1254480455000</v>
      </c>
      <c r="T38">
        <v>0.16020999999999999</v>
      </c>
      <c r="U38">
        <f t="shared" si="0"/>
        <v>0.42125244210885376</v>
      </c>
      <c r="V38">
        <f t="shared" si="1"/>
        <v>-2.4514904271435638</v>
      </c>
      <c r="W38">
        <f t="shared" si="2"/>
        <v>0.49716721368492084</v>
      </c>
      <c r="X38">
        <f t="shared" si="3"/>
        <v>1</v>
      </c>
      <c r="Y38">
        <f t="shared" si="4"/>
        <v>0</v>
      </c>
      <c r="Z38">
        <f t="shared" si="5"/>
        <v>0</v>
      </c>
      <c r="AA38">
        <f t="shared" si="6"/>
        <v>0</v>
      </c>
    </row>
    <row r="39" spans="1:27" x14ac:dyDescent="0.35">
      <c r="A39">
        <v>-1.6173588277558399</v>
      </c>
      <c r="B39" s="1">
        <v>-7.9512844703561001</v>
      </c>
      <c r="C39">
        <v>1.8469681977730999E-2</v>
      </c>
      <c r="D39">
        <v>95.812740000000005</v>
      </c>
      <c r="E39">
        <v>34.103580000000001</v>
      </c>
      <c r="F39">
        <v>0.61585999999999996</v>
      </c>
      <c r="G39">
        <v>1.6349899999999999</v>
      </c>
      <c r="H39">
        <v>0.14186900184263301</v>
      </c>
      <c r="I39">
        <v>0.15684999999999999</v>
      </c>
      <c r="J39">
        <v>491986798000</v>
      </c>
      <c r="K39" s="1">
        <v>4644546217000</v>
      </c>
      <c r="L39">
        <v>29611111193000</v>
      </c>
      <c r="M39">
        <v>-301840223000</v>
      </c>
      <c r="N39">
        <v>4256245345000</v>
      </c>
      <c r="O39" s="1">
        <v>-485227632000</v>
      </c>
      <c r="P39" s="1">
        <v>10098449838000</v>
      </c>
      <c r="Q39">
        <v>11958891761000</v>
      </c>
      <c r="R39">
        <v>7314345544000</v>
      </c>
      <c r="S39">
        <v>554113280000</v>
      </c>
      <c r="T39">
        <v>0.14247000000000001</v>
      </c>
      <c r="U39">
        <f t="shared" si="0"/>
        <v>0.24926508366636457</v>
      </c>
      <c r="V39">
        <f t="shared" si="1"/>
        <v>-2.275815778284938</v>
      </c>
      <c r="W39">
        <f t="shared" si="2"/>
        <v>0.37924184897572139</v>
      </c>
      <c r="X39">
        <f t="shared" si="3"/>
        <v>1</v>
      </c>
      <c r="Y39">
        <f t="shared" si="4"/>
        <v>0</v>
      </c>
      <c r="Z39">
        <f t="shared" si="5"/>
        <v>0</v>
      </c>
      <c r="AA39">
        <f t="shared" si="6"/>
        <v>0</v>
      </c>
    </row>
    <row r="40" spans="1:27" x14ac:dyDescent="0.35">
      <c r="A40">
        <v>7.7930741206834</v>
      </c>
      <c r="B40" s="1">
        <v>22.896614860552901</v>
      </c>
      <c r="C40">
        <v>0.12943415682902701</v>
      </c>
      <c r="D40">
        <v>67.864199999999997</v>
      </c>
      <c r="E40">
        <v>29.570309999999999</v>
      </c>
      <c r="F40">
        <v>4.3311000000000002</v>
      </c>
      <c r="G40">
        <v>1.9584600000000001</v>
      </c>
      <c r="H40">
        <v>0.29757821423189601</v>
      </c>
      <c r="I40">
        <v>0.1933</v>
      </c>
      <c r="J40">
        <v>2536005222000</v>
      </c>
      <c r="K40" s="1">
        <v>5531831541000</v>
      </c>
      <c r="L40">
        <v>28617781741000</v>
      </c>
      <c r="M40">
        <v>2581734223000</v>
      </c>
      <c r="N40">
        <v>8663824988000</v>
      </c>
      <c r="O40" s="1">
        <v>2268910393000</v>
      </c>
      <c r="P40" s="1">
        <v>8462367311000.001</v>
      </c>
      <c r="Q40">
        <v>11303386748000</v>
      </c>
      <c r="R40">
        <v>5771555207000</v>
      </c>
      <c r="S40">
        <v>3768403830000</v>
      </c>
      <c r="T40">
        <v>0.21712000000000001</v>
      </c>
      <c r="U40">
        <f t="shared" si="0"/>
        <v>1.0196871853371878</v>
      </c>
      <c r="V40">
        <f t="shared" si="1"/>
        <v>-2.9634329346703532</v>
      </c>
      <c r="W40">
        <f t="shared" si="2"/>
        <v>0.82545478259942673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6"/>
        <v>0</v>
      </c>
    </row>
    <row r="41" spans="1:27" x14ac:dyDescent="0.35">
      <c r="A41">
        <v>4.0899532882922403</v>
      </c>
      <c r="B41" s="1">
        <v>10.662744024756501</v>
      </c>
      <c r="C41">
        <v>3.3134348872867002E-2</v>
      </c>
      <c r="D41">
        <v>55.844999999999999</v>
      </c>
      <c r="E41">
        <v>26.518129999999999</v>
      </c>
      <c r="F41">
        <v>1.4785999999999999</v>
      </c>
      <c r="G41">
        <v>1.3012900000000001</v>
      </c>
      <c r="H41">
        <v>0.164250575899162</v>
      </c>
      <c r="I41">
        <v>9.0810000000000002E-2</v>
      </c>
      <c r="J41">
        <v>1008996916000</v>
      </c>
      <c r="K41" s="1">
        <v>2572530655000</v>
      </c>
      <c r="L41">
        <v>28327551612000</v>
      </c>
      <c r="M41">
        <v>1364833014000</v>
      </c>
      <c r="N41">
        <v>4676651899000</v>
      </c>
      <c r="O41" s="1">
        <v>1164518767000</v>
      </c>
      <c r="P41" s="1">
        <v>7511936164000</v>
      </c>
      <c r="Q41">
        <v>11110900726000</v>
      </c>
      <c r="R41">
        <v>8538370071000</v>
      </c>
      <c r="S41">
        <v>943423271000</v>
      </c>
      <c r="T41">
        <v>0.25766</v>
      </c>
      <c r="U41">
        <f t="shared" si="0"/>
        <v>0.36731752296097275</v>
      </c>
      <c r="V41">
        <f t="shared" si="1"/>
        <v>-2.9682523182119911</v>
      </c>
      <c r="W41">
        <f t="shared" si="2"/>
        <v>0.32086751661021035</v>
      </c>
      <c r="X41">
        <f t="shared" si="3"/>
        <v>1</v>
      </c>
      <c r="Y41">
        <f t="shared" si="4"/>
        <v>0</v>
      </c>
      <c r="Z41">
        <f t="shared" si="5"/>
        <v>0</v>
      </c>
      <c r="AA41">
        <f t="shared" si="6"/>
        <v>0</v>
      </c>
    </row>
    <row r="42" spans="1:27" x14ac:dyDescent="0.35">
      <c r="A42">
        <v>2.8303601619918299</v>
      </c>
      <c r="B42" s="1">
        <v>5.7769089601715304</v>
      </c>
      <c r="C42">
        <v>5.1631643109661E-2</v>
      </c>
      <c r="D42">
        <v>40.879559999999998</v>
      </c>
      <c r="E42">
        <v>21.572649999999999</v>
      </c>
      <c r="F42">
        <v>2.4777100000000001</v>
      </c>
      <c r="G42">
        <v>2.43323</v>
      </c>
      <c r="H42">
        <v>0.204849987245737</v>
      </c>
      <c r="I42">
        <v>0.24501000000000001</v>
      </c>
      <c r="J42">
        <v>1437266074000</v>
      </c>
      <c r="K42" s="1">
        <v>6399573539000</v>
      </c>
      <c r="L42">
        <v>26119677426000</v>
      </c>
      <c r="M42">
        <v>973205757000</v>
      </c>
      <c r="N42">
        <v>5576757087000</v>
      </c>
      <c r="O42" s="1">
        <v>770526340000</v>
      </c>
      <c r="P42" s="1">
        <v>5634707880000</v>
      </c>
      <c r="Q42">
        <v>10864722185000</v>
      </c>
      <c r="R42">
        <v>4465148646000</v>
      </c>
      <c r="S42">
        <v>1405599949000</v>
      </c>
      <c r="T42">
        <v>0.30370000000000003</v>
      </c>
      <c r="U42">
        <f t="shared" si="0"/>
        <v>0.64682251317890915</v>
      </c>
      <c r="V42">
        <f t="shared" si="1"/>
        <v>-3.1933750452824965</v>
      </c>
      <c r="W42">
        <f t="shared" si="2"/>
        <v>0.64492023870478865</v>
      </c>
      <c r="X42">
        <f t="shared" si="3"/>
        <v>1</v>
      </c>
      <c r="Y42">
        <f t="shared" si="4"/>
        <v>0</v>
      </c>
      <c r="Z42">
        <f t="shared" si="5"/>
        <v>0</v>
      </c>
      <c r="AA42">
        <f t="shared" si="6"/>
        <v>0</v>
      </c>
    </row>
    <row r="43" spans="1:27" x14ac:dyDescent="0.35">
      <c r="A43" s="1" t="s">
        <v>3</v>
      </c>
      <c r="B43" s="1" t="s">
        <v>3</v>
      </c>
      <c r="C43" s="1" t="s">
        <v>3</v>
      </c>
      <c r="D43" s="1" t="s">
        <v>3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  <c r="J43" s="1" t="s">
        <v>3</v>
      </c>
      <c r="K43" s="1" t="s">
        <v>3</v>
      </c>
      <c r="L43" s="1" t="s">
        <v>3</v>
      </c>
      <c r="M43" s="1" t="s">
        <v>3</v>
      </c>
      <c r="N43" s="1" t="s">
        <v>3</v>
      </c>
      <c r="O43" s="1" t="s">
        <v>3</v>
      </c>
      <c r="P43" s="1" t="s">
        <v>3</v>
      </c>
      <c r="Q43" s="1" t="s">
        <v>3</v>
      </c>
      <c r="R43" s="1" t="s">
        <v>3</v>
      </c>
      <c r="S43" s="1" t="s">
        <v>3</v>
      </c>
      <c r="T43" s="1" t="s">
        <v>3</v>
      </c>
      <c r="U43" t="e">
        <f t="shared" si="0"/>
        <v>#VALUE!</v>
      </c>
      <c r="V43" t="e">
        <f t="shared" si="1"/>
        <v>#VALUE!</v>
      </c>
      <c r="W43" t="e">
        <f t="shared" si="2"/>
        <v>#VALUE!</v>
      </c>
      <c r="X43" t="e">
        <f t="shared" si="3"/>
        <v>#VALUE!</v>
      </c>
      <c r="Y43" t="e">
        <f t="shared" si="4"/>
        <v>#VALUE!</v>
      </c>
      <c r="Z43" t="e">
        <f t="shared" si="5"/>
        <v>#VALUE!</v>
      </c>
      <c r="AA43" t="e">
        <f t="shared" si="6"/>
        <v>#VALUE!</v>
      </c>
    </row>
    <row r="44" spans="1:27" x14ac:dyDescent="0.35">
      <c r="A44" s="1">
        <v>-1.0013178050185001</v>
      </c>
      <c r="B44" s="1">
        <v>-2.12219035960144</v>
      </c>
      <c r="C44" s="1">
        <v>-2.0802036126389999E-3</v>
      </c>
      <c r="D44" s="1">
        <v>15.301220000000001</v>
      </c>
      <c r="E44" s="1">
        <v>10.65297</v>
      </c>
      <c r="F44" s="1">
        <v>-0.38453999999999999</v>
      </c>
      <c r="G44" s="1">
        <v>1.3342499999999999</v>
      </c>
      <c r="H44" s="1">
        <v>5.8825367237072997E-2</v>
      </c>
      <c r="I44" s="1">
        <v>8.3849999999999994E-2</v>
      </c>
      <c r="J44" s="2">
        <v>-17609875000</v>
      </c>
      <c r="K44" s="2">
        <v>161229436000</v>
      </c>
      <c r="L44" s="3">
        <v>1922880655000</v>
      </c>
      <c r="M44" s="3">
        <v>-24135089000</v>
      </c>
      <c r="N44" s="3">
        <v>117640265000</v>
      </c>
      <c r="O44" s="2">
        <v>-20024574000</v>
      </c>
      <c r="P44" s="2">
        <v>204843917000</v>
      </c>
      <c r="Q44" s="3">
        <v>643584097000</v>
      </c>
      <c r="R44" s="3">
        <v>482354661000</v>
      </c>
      <c r="S44" s="3">
        <v>-4160037000</v>
      </c>
      <c r="T44">
        <v>-9.1160000000000005E-2</v>
      </c>
      <c r="U44">
        <f t="shared" si="0"/>
        <v>7.1169463936770413E-2</v>
      </c>
      <c r="V44">
        <f t="shared" si="1"/>
        <v>-3.6405813518493706</v>
      </c>
      <c r="W44">
        <f t="shared" si="2"/>
        <v>0.1878180045464132</v>
      </c>
      <c r="X44">
        <f t="shared" si="3"/>
        <v>1</v>
      </c>
      <c r="Y44">
        <f t="shared" si="4"/>
        <v>0</v>
      </c>
      <c r="Z44">
        <f t="shared" si="5"/>
        <v>0</v>
      </c>
      <c r="AA44">
        <f t="shared" si="6"/>
        <v>0</v>
      </c>
    </row>
    <row r="45" spans="1:27" x14ac:dyDescent="0.35">
      <c r="A45" s="1">
        <v>0.61601854822677604</v>
      </c>
      <c r="B45" s="1">
        <v>0.80021697501438305</v>
      </c>
      <c r="C45" s="1">
        <v>1.4460101453490999E-2</v>
      </c>
      <c r="D45" s="1">
        <v>7.23393</v>
      </c>
      <c r="E45" s="1">
        <v>5.9571300000000003</v>
      </c>
      <c r="F45" s="1">
        <v>8.1814900000000002</v>
      </c>
      <c r="G45" s="1">
        <v>3.2012900000000002</v>
      </c>
      <c r="H45" s="1">
        <v>4.0227538235420003E-2</v>
      </c>
      <c r="I45" s="1">
        <v>0.29554999999999998</v>
      </c>
      <c r="J45" s="2">
        <v>-493320671000</v>
      </c>
      <c r="K45" s="2">
        <v>779107367000</v>
      </c>
      <c r="L45" s="3">
        <v>2636133693000</v>
      </c>
      <c r="M45" s="3">
        <v>24748594000</v>
      </c>
      <c r="N45" s="3">
        <v>91698962000</v>
      </c>
      <c r="O45" s="2">
        <v>14042187000</v>
      </c>
      <c r="P45" s="2">
        <v>157037983000</v>
      </c>
      <c r="Q45" s="3">
        <v>1133039790000</v>
      </c>
      <c r="R45" s="3">
        <v>353932423000</v>
      </c>
      <c r="S45" s="3">
        <v>32961905000</v>
      </c>
      <c r="T45">
        <v>-6.1170000000000002E-2</v>
      </c>
      <c r="U45">
        <f t="shared" si="0"/>
        <v>0.40286707369786134</v>
      </c>
      <c r="V45">
        <f t="shared" si="1"/>
        <v>-3.9716089318089107</v>
      </c>
      <c r="W45">
        <f t="shared" si="2"/>
        <v>0.5873047257709777</v>
      </c>
      <c r="X45">
        <f t="shared" si="3"/>
        <v>1</v>
      </c>
      <c r="Y45">
        <f t="shared" si="4"/>
        <v>0</v>
      </c>
      <c r="Z45">
        <f t="shared" si="5"/>
        <v>0</v>
      </c>
      <c r="AA45">
        <f t="shared" si="6"/>
        <v>0</v>
      </c>
    </row>
    <row r="46" spans="1:27" x14ac:dyDescent="0.35">
      <c r="A46" s="1">
        <v>1.86428896744447</v>
      </c>
      <c r="B46" s="1">
        <v>2.1780457887909201</v>
      </c>
      <c r="C46" s="1">
        <v>2.7411720855241E-2</v>
      </c>
      <c r="D46" s="1">
        <v>4.0100300000000004</v>
      </c>
      <c r="E46" s="1">
        <v>3.5702099999999999</v>
      </c>
      <c r="F46" s="1">
        <v>38.220190000000002</v>
      </c>
      <c r="G46" s="1">
        <v>5.9091699999999996</v>
      </c>
      <c r="H46" s="1">
        <v>0.13885811448546401</v>
      </c>
      <c r="I46" s="1">
        <v>0.35499000000000003</v>
      </c>
      <c r="J46" s="2">
        <v>-119069131352</v>
      </c>
      <c r="K46" s="2">
        <v>883338558453</v>
      </c>
      <c r="L46" s="3">
        <v>2488321454045</v>
      </c>
      <c r="M46" s="3">
        <v>68378903746</v>
      </c>
      <c r="N46" s="3">
        <v>355786089742</v>
      </c>
      <c r="O46" s="2">
        <v>47767325974</v>
      </c>
      <c r="P46" s="2">
        <v>88838414244</v>
      </c>
      <c r="Q46" s="3">
        <v>1063275039527</v>
      </c>
      <c r="R46" s="3">
        <v>179936481074</v>
      </c>
      <c r="S46" s="3">
        <v>70235067013</v>
      </c>
      <c r="T46">
        <v>-4.5600000000000002E-2</v>
      </c>
      <c r="U46">
        <f t="shared" si="0"/>
        <v>0.7603011175559562</v>
      </c>
      <c r="V46">
        <f t="shared" si="1"/>
        <v>-4.1592458222317612</v>
      </c>
      <c r="W46">
        <f t="shared" si="2"/>
        <v>0.73912773073032001</v>
      </c>
      <c r="X46">
        <f t="shared" si="3"/>
        <v>1</v>
      </c>
      <c r="Y46">
        <f t="shared" si="4"/>
        <v>0</v>
      </c>
      <c r="Z46">
        <f t="shared" si="5"/>
        <v>0</v>
      </c>
      <c r="AA46">
        <f t="shared" si="6"/>
        <v>0</v>
      </c>
    </row>
    <row r="47" spans="1:27" x14ac:dyDescent="0.35">
      <c r="A47" s="1">
        <v>-0.624657198992839</v>
      </c>
      <c r="B47" s="1">
        <v>-0.71200572256017203</v>
      </c>
      <c r="C47" s="1">
        <v>-4.3690550801700001E-3</v>
      </c>
      <c r="D47" s="1">
        <v>4.4556500000000003</v>
      </c>
      <c r="E47" s="1">
        <v>3.85236</v>
      </c>
      <c r="F47" s="1">
        <v>-2.0965400000000001</v>
      </c>
      <c r="G47" s="1">
        <v>4.9367700000000001</v>
      </c>
      <c r="H47" s="1">
        <v>3.1843514113593999E-2</v>
      </c>
      <c r="I47" s="1">
        <v>0.37644</v>
      </c>
      <c r="J47" s="2">
        <v>-190722473319</v>
      </c>
      <c r="K47" s="2">
        <v>957351035702</v>
      </c>
      <c r="L47" s="3">
        <v>2543182987219</v>
      </c>
      <c r="M47" s="3">
        <v>-12449432202</v>
      </c>
      <c r="N47" s="3">
        <v>80110391344</v>
      </c>
      <c r="O47" s="3">
        <v>-15714827355</v>
      </c>
      <c r="P47" s="2">
        <v>97972497976</v>
      </c>
      <c r="Q47" s="3">
        <v>1200532770207</v>
      </c>
      <c r="R47" s="3">
        <v>243181734505</v>
      </c>
      <c r="S47" s="3">
        <v>-10991460020</v>
      </c>
      <c r="T47">
        <v>-5.0799999999999998E-2</v>
      </c>
      <c r="U47">
        <f t="shared" si="0"/>
        <v>0.35327495911371598</v>
      </c>
      <c r="V47">
        <f t="shared" si="1"/>
        <v>-4.0328621562406557</v>
      </c>
      <c r="W47">
        <f t="shared" si="2"/>
        <v>0.66331218811694481</v>
      </c>
      <c r="X47">
        <f t="shared" si="3"/>
        <v>1</v>
      </c>
      <c r="Y47">
        <f t="shared" si="4"/>
        <v>0</v>
      </c>
      <c r="Z47">
        <f t="shared" si="5"/>
        <v>0</v>
      </c>
      <c r="AA47">
        <f t="shared" si="6"/>
        <v>0</v>
      </c>
    </row>
    <row r="48" spans="1:27" x14ac:dyDescent="0.35">
      <c r="A48" s="1">
        <v>9.224973585158E-2</v>
      </c>
      <c r="B48" s="1">
        <v>0.109662224987118</v>
      </c>
      <c r="C48" s="1">
        <v>1.2427876824049999E-2</v>
      </c>
      <c r="D48" s="1">
        <v>10.271599999999999</v>
      </c>
      <c r="E48" s="1">
        <v>8.4262700000000006</v>
      </c>
      <c r="F48" s="1">
        <v>2.4039999999999999</v>
      </c>
      <c r="G48" s="1">
        <v>4.5297299999999998</v>
      </c>
      <c r="H48" s="1">
        <v>6.1067150843081001E-2</v>
      </c>
      <c r="I48" s="1">
        <v>0.37175999999999998</v>
      </c>
      <c r="J48" s="2">
        <v>-119801068556</v>
      </c>
      <c r="K48" s="2">
        <v>1034989104285</v>
      </c>
      <c r="L48" s="3">
        <v>2784021782133</v>
      </c>
      <c r="M48" s="3">
        <v>9506606250</v>
      </c>
      <c r="N48" s="3">
        <v>162658608611</v>
      </c>
      <c r="O48" s="3">
        <v>2457166164</v>
      </c>
      <c r="P48" s="2">
        <v>234589327634</v>
      </c>
      <c r="Q48" s="3">
        <v>1328209426972</v>
      </c>
      <c r="R48" s="3">
        <v>293220322687</v>
      </c>
      <c r="S48" s="3">
        <v>33102922345</v>
      </c>
      <c r="T48">
        <v>-4.5519999999999998E-2</v>
      </c>
      <c r="U48">
        <f t="shared" si="0"/>
        <v>0.46418494260586635</v>
      </c>
      <c r="V48">
        <f t="shared" si="1"/>
        <v>-3.8055550869373875</v>
      </c>
      <c r="W48">
        <f t="shared" si="2"/>
        <v>0.71089347744129328</v>
      </c>
      <c r="X48">
        <f t="shared" si="3"/>
        <v>1</v>
      </c>
      <c r="Y48">
        <f t="shared" si="4"/>
        <v>0</v>
      </c>
      <c r="Z48">
        <f t="shared" si="5"/>
        <v>0</v>
      </c>
      <c r="AA48">
        <f t="shared" si="6"/>
        <v>0</v>
      </c>
    </row>
    <row r="49" spans="1:27" x14ac:dyDescent="0.35">
      <c r="A49" s="1">
        <v>2.1888900616782698</v>
      </c>
      <c r="B49" s="1">
        <v>2.0499573695476698</v>
      </c>
      <c r="C49" s="1">
        <v>4.0324988299702998E-2</v>
      </c>
      <c r="D49" s="1">
        <v>8.0101399999999998</v>
      </c>
      <c r="E49" s="1">
        <v>6.8618499999999996</v>
      </c>
      <c r="F49" s="1">
        <v>107308.78376999999</v>
      </c>
      <c r="G49" s="1">
        <v>5.5356199999999998</v>
      </c>
      <c r="H49" s="1">
        <v>0.116748597389607</v>
      </c>
      <c r="I49" s="1">
        <v>0.27372999999999997</v>
      </c>
      <c r="J49" s="2">
        <v>-145915771431</v>
      </c>
      <c r="K49" s="2">
        <v>1317845228467</v>
      </c>
      <c r="L49" s="3">
        <v>4814315153733</v>
      </c>
      <c r="M49" s="3">
        <v>103460802253</v>
      </c>
      <c r="N49" s="3">
        <v>443547589878</v>
      </c>
      <c r="O49" s="3">
        <v>83159621021</v>
      </c>
      <c r="P49" s="2">
        <v>330351243722</v>
      </c>
      <c r="Q49" s="3">
        <v>1608400014243</v>
      </c>
      <c r="R49" s="3">
        <v>290554785776</v>
      </c>
      <c r="S49" s="3">
        <v>153201424018</v>
      </c>
      <c r="T49">
        <v>-1.4760000000000001E-2</v>
      </c>
      <c r="U49">
        <f t="shared" si="0"/>
        <v>0.65150580491884424</v>
      </c>
      <c r="V49">
        <f t="shared" si="1"/>
        <v>-3.9644622210121101</v>
      </c>
      <c r="W49">
        <f t="shared" si="2"/>
        <v>0.617260959686593</v>
      </c>
      <c r="X49">
        <f t="shared" si="3"/>
        <v>1</v>
      </c>
      <c r="Y49">
        <f t="shared" si="4"/>
        <v>0</v>
      </c>
      <c r="Z49">
        <f t="shared" si="5"/>
        <v>0</v>
      </c>
      <c r="AA49">
        <f t="shared" si="6"/>
        <v>0</v>
      </c>
    </row>
    <row r="50" spans="1:27" x14ac:dyDescent="0.35">
      <c r="A50" s="1">
        <v>2.7013341728245899</v>
      </c>
      <c r="B50" s="1">
        <v>3.1232526388826098</v>
      </c>
      <c r="C50" s="1">
        <v>2.5035283976263999E-2</v>
      </c>
      <c r="D50" s="1">
        <v>7.32857</v>
      </c>
      <c r="E50" s="1">
        <v>6.3646399999999996</v>
      </c>
      <c r="F50" s="1">
        <v>151.25793999999999</v>
      </c>
      <c r="G50" s="1">
        <v>3.16391</v>
      </c>
      <c r="H50" s="1">
        <v>9.0617790290015002E-2</v>
      </c>
      <c r="I50" s="1">
        <v>0.21478</v>
      </c>
      <c r="J50" s="2">
        <v>-466727420163</v>
      </c>
      <c r="K50" s="2">
        <v>1136262497417</v>
      </c>
      <c r="L50" s="3">
        <v>5290382916872</v>
      </c>
      <c r="M50" s="3">
        <v>156884433358</v>
      </c>
      <c r="N50" s="3">
        <v>457832705353</v>
      </c>
      <c r="O50" s="3">
        <v>136480831020.99998</v>
      </c>
      <c r="P50" s="2">
        <v>336713750229</v>
      </c>
      <c r="Q50" s="3">
        <v>1661358688755</v>
      </c>
      <c r="R50" s="3">
        <v>525096191338</v>
      </c>
      <c r="S50" s="3">
        <v>126486992846</v>
      </c>
      <c r="T50">
        <v>1.2189999999999999E-2</v>
      </c>
      <c r="U50">
        <f t="shared" si="0"/>
        <v>0.52642866399736077</v>
      </c>
      <c r="V50">
        <f t="shared" si="1"/>
        <v>-4.0406505532153894</v>
      </c>
      <c r="W50">
        <f t="shared" si="2"/>
        <v>0.49318365134268061</v>
      </c>
      <c r="X50">
        <f t="shared" si="3"/>
        <v>1</v>
      </c>
      <c r="Y50">
        <f t="shared" si="4"/>
        <v>0</v>
      </c>
      <c r="Z50">
        <f t="shared" si="5"/>
        <v>0</v>
      </c>
      <c r="AA50">
        <f t="shared" si="6"/>
        <v>0</v>
      </c>
    </row>
    <row r="51" spans="1:27" x14ac:dyDescent="0.35">
      <c r="A51" s="1">
        <v>3.8607858113141602</v>
      </c>
      <c r="B51" s="1">
        <v>4.71792963600232</v>
      </c>
      <c r="C51" s="1">
        <v>4.0834167278765002E-2</v>
      </c>
      <c r="D51" s="1">
        <v>12.516719999999999</v>
      </c>
      <c r="E51" s="1">
        <v>9.7957999999999998</v>
      </c>
      <c r="F51" s="1">
        <v>15.305910000000001</v>
      </c>
      <c r="G51" s="1">
        <v>3.18445</v>
      </c>
      <c r="H51" s="1">
        <v>0.10882069306726801</v>
      </c>
      <c r="I51" s="1">
        <v>0.23222999999999999</v>
      </c>
      <c r="J51" s="2">
        <v>437469854535</v>
      </c>
      <c r="K51" s="2">
        <v>1429225503007</v>
      </c>
      <c r="L51" s="3">
        <v>6154231305371</v>
      </c>
      <c r="M51" s="3">
        <v>248345307082</v>
      </c>
      <c r="N51" s="3">
        <v>622705425776</v>
      </c>
      <c r="O51" s="3">
        <v>220926021026</v>
      </c>
      <c r="P51" s="2">
        <v>602856096390</v>
      </c>
      <c r="Q51" s="3">
        <v>2083499351647</v>
      </c>
      <c r="R51" s="3">
        <v>654273848640</v>
      </c>
      <c r="S51" s="3">
        <v>233665645796</v>
      </c>
      <c r="T51">
        <v>4.641E-2</v>
      </c>
      <c r="U51">
        <f t="shared" si="0"/>
        <v>0.64675642586934723</v>
      </c>
      <c r="V51">
        <f t="shared" si="1"/>
        <v>-3.8904437476958882</v>
      </c>
      <c r="W51">
        <f t="shared" si="2"/>
        <v>0.57000554007974924</v>
      </c>
      <c r="X51">
        <f t="shared" si="3"/>
        <v>1</v>
      </c>
      <c r="Y51">
        <f t="shared" si="4"/>
        <v>0</v>
      </c>
      <c r="Z51">
        <f t="shared" si="5"/>
        <v>0</v>
      </c>
      <c r="AA51">
        <f t="shared" si="6"/>
        <v>0</v>
      </c>
    </row>
    <row r="52" spans="1:27" x14ac:dyDescent="0.35">
      <c r="A52" s="1">
        <v>7.1949774624846299</v>
      </c>
      <c r="B52" s="1">
        <v>12.327064620453299</v>
      </c>
      <c r="C52" s="1">
        <v>2.910507139399E-2</v>
      </c>
      <c r="D52" s="1">
        <v>27.545539999999999</v>
      </c>
      <c r="E52" s="1">
        <v>17.768059999999998</v>
      </c>
      <c r="F52" s="1">
        <v>1.6877</v>
      </c>
      <c r="G52" s="1">
        <v>4.5716200000000002</v>
      </c>
      <c r="H52" s="1">
        <v>0.114386586665226</v>
      </c>
      <c r="I52" s="1">
        <v>0.48803000000000002</v>
      </c>
      <c r="J52" s="2">
        <v>19713146811</v>
      </c>
      <c r="K52" s="2">
        <v>5205220398866</v>
      </c>
      <c r="L52" s="3">
        <v>10665713361698</v>
      </c>
      <c r="M52" s="3">
        <v>640129649223</v>
      </c>
      <c r="N52" s="3">
        <v>961988029182</v>
      </c>
      <c r="O52" s="3">
        <v>605095613999</v>
      </c>
      <c r="P52" s="2">
        <v>1895090055266</v>
      </c>
      <c r="Q52" s="3">
        <v>6662604199638</v>
      </c>
      <c r="R52" s="3">
        <v>1457383800772</v>
      </c>
      <c r="S52" s="3">
        <v>244772845189</v>
      </c>
      <c r="T52">
        <v>8.5870000000000002E-2</v>
      </c>
      <c r="U52">
        <f t="shared" si="0"/>
        <v>0.89909991817704349</v>
      </c>
      <c r="V52">
        <f t="shared" si="1"/>
        <v>-3.5242317879654763</v>
      </c>
      <c r="W52">
        <f t="shared" si="2"/>
        <v>0.94128233847405107</v>
      </c>
      <c r="X52">
        <f t="shared" si="3"/>
        <v>0</v>
      </c>
      <c r="Y52">
        <f t="shared" si="4"/>
        <v>0</v>
      </c>
      <c r="Z52">
        <f t="shared" si="5"/>
        <v>0</v>
      </c>
      <c r="AA52">
        <f t="shared" si="6"/>
        <v>0</v>
      </c>
    </row>
    <row r="53" spans="1:27" x14ac:dyDescent="0.35">
      <c r="A53" s="1">
        <v>0.39440187925578801</v>
      </c>
      <c r="B53" s="1">
        <v>0.97368740863695102</v>
      </c>
      <c r="C53" s="1">
        <v>1.7482530141532001E-2</v>
      </c>
      <c r="D53" s="1">
        <v>22.19941</v>
      </c>
      <c r="E53" s="1">
        <v>13.890269999999999</v>
      </c>
      <c r="F53" s="1">
        <v>1.6944699999999999</v>
      </c>
      <c r="G53" s="1">
        <v>1.48899</v>
      </c>
      <c r="H53" s="1">
        <v>6.8995612691550995E-2</v>
      </c>
      <c r="I53" s="1">
        <v>0.12252</v>
      </c>
      <c r="J53" s="2">
        <v>38327257924</v>
      </c>
      <c r="K53" s="2">
        <v>1223610019886</v>
      </c>
      <c r="L53" s="3">
        <v>9986973579779</v>
      </c>
      <c r="M53" s="3">
        <v>68506952993</v>
      </c>
      <c r="N53" s="3">
        <v>712472394627</v>
      </c>
      <c r="O53" s="3">
        <v>40727292707</v>
      </c>
      <c r="P53" s="2">
        <v>1387218035993</v>
      </c>
      <c r="Q53" s="3">
        <v>3725936243346</v>
      </c>
      <c r="R53" s="3">
        <v>2502326223460</v>
      </c>
      <c r="S53" s="3">
        <v>180530610979</v>
      </c>
      <c r="T53">
        <v>9.8710000000000006E-2</v>
      </c>
      <c r="U53">
        <f t="shared" si="0"/>
        <v>0.22829649910552777</v>
      </c>
      <c r="V53">
        <f t="shared" si="1"/>
        <v>-3.5206495890500182</v>
      </c>
      <c r="W53">
        <f t="shared" si="2"/>
        <v>0.32075701790191558</v>
      </c>
      <c r="X53">
        <f t="shared" si="3"/>
        <v>1</v>
      </c>
      <c r="Y53">
        <f t="shared" si="4"/>
        <v>0</v>
      </c>
      <c r="Z53">
        <f t="shared" si="5"/>
        <v>0</v>
      </c>
      <c r="AA53">
        <f t="shared" si="6"/>
        <v>0</v>
      </c>
    </row>
    <row r="54" spans="1:27" x14ac:dyDescent="0.35">
      <c r="A54" s="1">
        <v>0.58367523385764497</v>
      </c>
      <c r="B54" s="1">
        <v>0.87583020503938602</v>
      </c>
      <c r="C54" s="1">
        <v>2.7381247637283002E-2</v>
      </c>
      <c r="D54" s="1">
        <v>21.719200000000001</v>
      </c>
      <c r="E54" s="1">
        <v>12.76296</v>
      </c>
      <c r="F54" s="1">
        <v>1.75664</v>
      </c>
      <c r="G54" s="1">
        <v>1.2984899999999999</v>
      </c>
      <c r="H54" s="1">
        <v>5.2979186378348003E-2</v>
      </c>
      <c r="I54" s="1">
        <v>8.6440000000000003E-2</v>
      </c>
      <c r="J54" s="2">
        <v>-114457885392</v>
      </c>
      <c r="K54" s="2">
        <v>963489416535</v>
      </c>
      <c r="L54" s="3">
        <v>11145896809593</v>
      </c>
      <c r="M54" s="3">
        <v>83593038418</v>
      </c>
      <c r="N54" s="3">
        <v>559801139534</v>
      </c>
      <c r="O54" s="3">
        <v>61673665333</v>
      </c>
      <c r="P54" s="3">
        <v>1422546520096</v>
      </c>
      <c r="Q54" s="3">
        <v>4191414243140</v>
      </c>
      <c r="R54" s="3">
        <v>3227924826605</v>
      </c>
      <c r="S54" s="3">
        <v>289322178709</v>
      </c>
      <c r="T54">
        <v>9.3380000000000005E-2</v>
      </c>
      <c r="U54">
        <f t="shared" si="0"/>
        <v>0.20590880789304952</v>
      </c>
      <c r="V54">
        <f t="shared" si="1"/>
        <v>-3.592217131020675</v>
      </c>
      <c r="W54">
        <f t="shared" si="2"/>
        <v>0.28808028508183936</v>
      </c>
      <c r="X54">
        <f t="shared" si="3"/>
        <v>1</v>
      </c>
      <c r="Y54">
        <f t="shared" si="4"/>
        <v>0</v>
      </c>
      <c r="Z54">
        <f t="shared" si="5"/>
        <v>0</v>
      </c>
      <c r="AA54">
        <f t="shared" si="6"/>
        <v>0</v>
      </c>
    </row>
    <row r="55" spans="1:27" x14ac:dyDescent="0.35">
      <c r="A55" s="1">
        <v>4.9981500623384996</v>
      </c>
      <c r="B55" s="1">
        <v>9.2554679323207107</v>
      </c>
      <c r="C55" s="1">
        <v>6.0808415460779003E-2</v>
      </c>
      <c r="D55" s="1">
        <v>17.0364</v>
      </c>
      <c r="E55" s="1">
        <v>10.738569999999999</v>
      </c>
      <c r="F55" s="1">
        <v>4.9505800000000004</v>
      </c>
      <c r="G55" s="1">
        <v>1.4108499999999999</v>
      </c>
      <c r="H55" s="1">
        <v>0.107225362056578</v>
      </c>
      <c r="I55" s="1">
        <v>0.10303</v>
      </c>
      <c r="J55" s="2">
        <v>-460393885536</v>
      </c>
      <c r="K55" s="2">
        <v>1170368964670</v>
      </c>
      <c r="L55" s="3">
        <v>11359506311011</v>
      </c>
      <c r="M55" s="3">
        <v>603280398198</v>
      </c>
      <c r="N55" s="3">
        <v>1206574998918</v>
      </c>
      <c r="O55" s="2">
        <v>562426910051</v>
      </c>
      <c r="P55" s="2">
        <v>1219848341417</v>
      </c>
      <c r="Q55" s="3">
        <v>4019040145498</v>
      </c>
      <c r="R55" s="3">
        <v>2848671180828</v>
      </c>
      <c r="S55" s="3">
        <v>684258951535</v>
      </c>
      <c r="T55">
        <v>0.13783000000000001</v>
      </c>
      <c r="U55">
        <f t="shared" si="0"/>
        <v>0.47330651122002937</v>
      </c>
      <c r="V55">
        <f t="shared" si="1"/>
        <v>-3.9050602513113071</v>
      </c>
      <c r="W55">
        <f t="shared" si="2"/>
        <v>0.43283720422366523</v>
      </c>
      <c r="X55">
        <f t="shared" si="3"/>
        <v>1</v>
      </c>
      <c r="Y55">
        <f t="shared" si="4"/>
        <v>0</v>
      </c>
      <c r="Z55">
        <f t="shared" si="5"/>
        <v>0</v>
      </c>
      <c r="AA55">
        <f t="shared" si="6"/>
        <v>0</v>
      </c>
    </row>
    <row r="56" spans="1:27" x14ac:dyDescent="0.35">
      <c r="A56" s="1">
        <v>3.5582430305534798</v>
      </c>
      <c r="B56" s="1">
        <v>5.9863853612045599</v>
      </c>
      <c r="C56" s="1">
        <v>4.7879167533909001E-2</v>
      </c>
      <c r="D56" s="1">
        <v>14.98912</v>
      </c>
      <c r="E56" s="1">
        <v>9.9505700000000008</v>
      </c>
      <c r="F56" s="1">
        <v>4.1788800000000004</v>
      </c>
      <c r="G56" s="1">
        <v>1.556</v>
      </c>
      <c r="H56" s="1">
        <v>0.123287607873689</v>
      </c>
      <c r="I56" s="1">
        <v>0.10967</v>
      </c>
      <c r="J56" s="2">
        <v>57883517972</v>
      </c>
      <c r="K56" s="2">
        <v>1642589259738</v>
      </c>
      <c r="L56" s="2">
        <v>14977041120833</v>
      </c>
      <c r="M56" s="2">
        <v>513251602354</v>
      </c>
      <c r="N56" s="2">
        <v>1623484966262</v>
      </c>
      <c r="O56" s="2">
        <v>468559181741</v>
      </c>
      <c r="P56" s="2">
        <v>1490301091947</v>
      </c>
      <c r="Q56" s="2">
        <v>4596876388019</v>
      </c>
      <c r="R56" s="2">
        <v>2954287128281</v>
      </c>
      <c r="S56" s="2">
        <v>630485983377</v>
      </c>
      <c r="T56" s="1">
        <v>0.13547000000000001</v>
      </c>
      <c r="U56">
        <f t="shared" si="0"/>
        <v>0.40022314009358834</v>
      </c>
      <c r="V56">
        <f t="shared" si="1"/>
        <v>-3.8673766886385579</v>
      </c>
      <c r="W56">
        <f t="shared" si="2"/>
        <v>0.38175997586233096</v>
      </c>
      <c r="X56">
        <f t="shared" si="3"/>
        <v>1</v>
      </c>
      <c r="Y56">
        <f t="shared" si="4"/>
        <v>0</v>
      </c>
      <c r="Z56">
        <f t="shared" si="5"/>
        <v>0</v>
      </c>
      <c r="AA56">
        <f t="shared" si="6"/>
        <v>0</v>
      </c>
    </row>
    <row r="57" spans="1:27" x14ac:dyDescent="0.35">
      <c r="A57" s="1">
        <v>2.3605122768503399</v>
      </c>
      <c r="B57" s="1">
        <v>3.6094941468484598</v>
      </c>
      <c r="C57" s="1">
        <v>3.9182542815337E-2</v>
      </c>
      <c r="D57" s="1">
        <v>18.303629999999998</v>
      </c>
      <c r="E57" s="1">
        <v>11.96138</v>
      </c>
      <c r="F57" s="1">
        <v>3.7241499999999998</v>
      </c>
      <c r="G57" s="1">
        <v>1.47007</v>
      </c>
      <c r="H57" s="1">
        <v>8.4330138522426004E-2</v>
      </c>
      <c r="I57" s="1">
        <v>8.9469999999999994E-2</v>
      </c>
      <c r="J57" s="2">
        <v>-815645578099</v>
      </c>
      <c r="K57" s="2">
        <v>1454065032475</v>
      </c>
      <c r="L57" s="2">
        <v>16252732184207</v>
      </c>
      <c r="M57" s="2">
        <v>401908742292</v>
      </c>
      <c r="N57" s="2">
        <v>1316805554419</v>
      </c>
      <c r="O57" s="2">
        <v>368591316449</v>
      </c>
      <c r="P57" s="2">
        <v>1944051124730</v>
      </c>
      <c r="Q57" s="2">
        <v>4547349270546</v>
      </c>
      <c r="R57" s="2">
        <v>3093284238071</v>
      </c>
      <c r="S57" s="2">
        <v>611830964819</v>
      </c>
      <c r="T57" s="1">
        <v>0.14596000000000001</v>
      </c>
      <c r="U57">
        <f t="shared" si="0"/>
        <v>0.32588108453406095</v>
      </c>
      <c r="V57">
        <f t="shared" si="1"/>
        <v>-3.7143753125148828</v>
      </c>
      <c r="W57">
        <f t="shared" si="2"/>
        <v>0.33312448897986791</v>
      </c>
      <c r="X57">
        <f t="shared" si="3"/>
        <v>1</v>
      </c>
      <c r="Y57">
        <f t="shared" si="4"/>
        <v>0</v>
      </c>
      <c r="Z57">
        <f t="shared" si="5"/>
        <v>0</v>
      </c>
      <c r="AA57">
        <f t="shared" si="6"/>
        <v>0</v>
      </c>
    </row>
    <row r="58" spans="1:27" x14ac:dyDescent="0.35">
      <c r="A58" s="1">
        <v>0.41116718896155402</v>
      </c>
      <c r="B58" s="1">
        <v>0.521898260521375</v>
      </c>
      <c r="C58" s="1">
        <v>1.5184769867485E-2</v>
      </c>
      <c r="D58" s="1">
        <v>27.384419999999999</v>
      </c>
      <c r="E58" s="1">
        <v>16.95655</v>
      </c>
      <c r="F58" s="1">
        <v>1.2744</v>
      </c>
      <c r="G58" s="1">
        <v>1.43068</v>
      </c>
      <c r="H58" s="1">
        <v>5.675381124389E-2</v>
      </c>
      <c r="I58" s="1">
        <v>8.2360000000000003E-2</v>
      </c>
      <c r="J58" s="2">
        <v>-502432676517</v>
      </c>
      <c r="K58" s="2">
        <v>1422764342804</v>
      </c>
      <c r="L58" s="3">
        <v>17275272609213</v>
      </c>
      <c r="M58" s="3">
        <v>87275498783</v>
      </c>
      <c r="N58" s="3">
        <v>951421027715</v>
      </c>
      <c r="O58" s="2">
        <v>68928077412</v>
      </c>
      <c r="P58" s="2">
        <v>2929290713209</v>
      </c>
      <c r="Q58" s="3">
        <v>4726295211213</v>
      </c>
      <c r="R58" s="3">
        <v>3303530868409</v>
      </c>
      <c r="S58" s="3">
        <v>254557518452</v>
      </c>
      <c r="T58">
        <v>0.14055999999999999</v>
      </c>
      <c r="U58">
        <f t="shared" si="0"/>
        <v>0.16953287199193137</v>
      </c>
      <c r="V58">
        <f t="shared" si="1"/>
        <v>-3.3457087056747592</v>
      </c>
      <c r="W58">
        <f t="shared" si="2"/>
        <v>0.24311444695588347</v>
      </c>
      <c r="X58">
        <f t="shared" si="3"/>
        <v>1</v>
      </c>
      <c r="Y58">
        <f t="shared" si="4"/>
        <v>0</v>
      </c>
      <c r="Z58">
        <f t="shared" si="5"/>
        <v>0</v>
      </c>
      <c r="AA58">
        <f t="shared" si="6"/>
        <v>0</v>
      </c>
    </row>
    <row r="59" spans="1:27" x14ac:dyDescent="0.35">
      <c r="A59" s="1">
        <v>-3.1212138208126601</v>
      </c>
      <c r="B59" s="1">
        <v>-6.67207758737531</v>
      </c>
      <c r="C59" s="1">
        <v>-1.4667727126836E-2</v>
      </c>
      <c r="D59" s="1">
        <v>28.55658</v>
      </c>
      <c r="E59" s="1">
        <v>15.93294</v>
      </c>
      <c r="F59" s="1">
        <v>-0.82013000000000003</v>
      </c>
      <c r="G59" s="1">
        <v>1.4032100000000001</v>
      </c>
      <c r="H59" s="1">
        <v>2.5351560136901E-2</v>
      </c>
      <c r="I59" s="1">
        <v>7.177E-2</v>
      </c>
      <c r="J59" s="2">
        <v>-1522393565962</v>
      </c>
      <c r="K59" s="2">
        <v>1318569494303</v>
      </c>
      <c r="L59" s="3">
        <v>18371229973821</v>
      </c>
      <c r="M59" s="3">
        <v>-542015549231</v>
      </c>
      <c r="N59" s="3">
        <v>451847226952</v>
      </c>
      <c r="O59" s="2">
        <v>-556301782629</v>
      </c>
      <c r="P59" s="2">
        <v>2927077534430</v>
      </c>
      <c r="Q59" s="3">
        <v>4588731043660</v>
      </c>
      <c r="R59" s="3">
        <v>3270161549357</v>
      </c>
      <c r="S59" s="3">
        <v>-261426586457</v>
      </c>
      <c r="T59">
        <v>2.6349999999999998E-2</v>
      </c>
      <c r="U59">
        <f t="shared" si="0"/>
        <v>-6.9314028325800789E-2</v>
      </c>
      <c r="V59">
        <f t="shared" si="1"/>
        <v>-3.2499442910432523</v>
      </c>
      <c r="W59">
        <f t="shared" si="2"/>
        <v>0.12650229998741283</v>
      </c>
      <c r="X59">
        <f t="shared" si="3"/>
        <v>1</v>
      </c>
      <c r="Y59">
        <f t="shared" si="4"/>
        <v>0</v>
      </c>
      <c r="Z59">
        <f t="shared" si="5"/>
        <v>0</v>
      </c>
      <c r="AA59">
        <f t="shared" si="6"/>
        <v>0</v>
      </c>
    </row>
    <row r="60" spans="1:27" x14ac:dyDescent="0.35">
      <c r="A60" s="1">
        <v>1.30913558690343</v>
      </c>
      <c r="B60" s="1">
        <v>2.9483347965468099</v>
      </c>
      <c r="C60" s="1">
        <v>1.9115852017490002E-2</v>
      </c>
      <c r="D60" s="1">
        <v>21.280899999999999</v>
      </c>
      <c r="E60" s="1">
        <v>13.398540000000001</v>
      </c>
      <c r="F60" s="1">
        <v>1.27939</v>
      </c>
      <c r="G60" s="1">
        <v>2.8337599999999998</v>
      </c>
      <c r="H60" s="1">
        <v>5.2001578603343999E-2</v>
      </c>
      <c r="I60" s="1">
        <v>0.18085000000000001</v>
      </c>
      <c r="J60" s="2">
        <v>-196335576102</v>
      </c>
      <c r="K60" s="2">
        <v>3012065855780</v>
      </c>
      <c r="L60" s="3">
        <v>16654989338161</v>
      </c>
      <c r="M60" s="3">
        <v>297446433727</v>
      </c>
      <c r="N60" s="3">
        <v>910709348365</v>
      </c>
      <c r="O60" s="2">
        <v>229270350880</v>
      </c>
      <c r="P60" s="2">
        <v>2231525880024</v>
      </c>
      <c r="Q60" s="3">
        <v>4654627251261</v>
      </c>
      <c r="R60" s="3">
        <v>1642561395481</v>
      </c>
      <c r="S60" s="3">
        <v>334778012550</v>
      </c>
      <c r="T60">
        <v>4.5150000000000003E-2</v>
      </c>
      <c r="U60">
        <f t="shared" si="0"/>
        <v>0.38937526447808429</v>
      </c>
      <c r="V60">
        <f t="shared" si="1"/>
        <v>-3.5868944094404136</v>
      </c>
      <c r="W60">
        <f t="shared" si="2"/>
        <v>0.42404684813963855</v>
      </c>
      <c r="X60">
        <f t="shared" si="3"/>
        <v>1</v>
      </c>
      <c r="Y60">
        <f t="shared" si="4"/>
        <v>0</v>
      </c>
      <c r="Z60">
        <f t="shared" si="5"/>
        <v>0</v>
      </c>
      <c r="AA60">
        <f t="shared" si="6"/>
        <v>0</v>
      </c>
    </row>
    <row r="61" spans="1:27" x14ac:dyDescent="0.35">
      <c r="A61" s="1">
        <v>-1.00119270790316</v>
      </c>
      <c r="B61" s="1">
        <v>-1.8285374313371401</v>
      </c>
      <c r="C61" s="1">
        <v>1.5634326446612001E-2</v>
      </c>
      <c r="D61" s="1">
        <v>23.797899999999998</v>
      </c>
      <c r="E61" s="1">
        <v>14.69168</v>
      </c>
      <c r="F61" s="1">
        <v>0.75995999999999997</v>
      </c>
      <c r="G61" s="1">
        <v>2.02203</v>
      </c>
      <c r="H61" s="1">
        <v>4.0317780062581E-2</v>
      </c>
      <c r="I61" s="1">
        <v>0.13547000000000001</v>
      </c>
      <c r="J61" s="2">
        <v>-261652276994</v>
      </c>
      <c r="K61" s="2">
        <v>2265265628323</v>
      </c>
      <c r="L61" s="3">
        <v>16721760263807</v>
      </c>
      <c r="M61" s="3">
        <v>-153106745293</v>
      </c>
      <c r="N61" s="3">
        <v>672838224828</v>
      </c>
      <c r="O61" s="2">
        <v>-167082791575</v>
      </c>
      <c r="P61" s="2">
        <v>2456707259164</v>
      </c>
      <c r="Q61" s="3">
        <v>4481703360284</v>
      </c>
      <c r="R61" s="3">
        <v>2216437731961</v>
      </c>
      <c r="S61" s="3">
        <v>260911499502</v>
      </c>
      <c r="T61">
        <v>3.5459999999999998E-2</v>
      </c>
      <c r="U61">
        <f t="shared" si="0"/>
        <v>0.15793726527696675</v>
      </c>
      <c r="V61">
        <f t="shared" si="1"/>
        <v>-3.4095224844043637</v>
      </c>
      <c r="W61">
        <f t="shared" si="2"/>
        <v>0.33347554045963912</v>
      </c>
      <c r="X61">
        <f t="shared" si="3"/>
        <v>1</v>
      </c>
      <c r="Y61">
        <f t="shared" si="4"/>
        <v>0</v>
      </c>
      <c r="Z61">
        <f t="shared" si="5"/>
        <v>0</v>
      </c>
      <c r="AA61">
        <f t="shared" si="6"/>
        <v>0</v>
      </c>
    </row>
    <row r="62" spans="1:27" x14ac:dyDescent="0.35">
      <c r="A62" s="1">
        <v>1.73636322266784</v>
      </c>
      <c r="B62" s="1">
        <v>2.86102393200076</v>
      </c>
      <c r="C62" s="1">
        <v>2.5539030722584E-2</v>
      </c>
      <c r="D62" s="1">
        <v>15.919829999999999</v>
      </c>
      <c r="E62" s="1">
        <v>12.12073</v>
      </c>
      <c r="F62" s="1">
        <v>1.6802699999999999</v>
      </c>
      <c r="G62" s="1">
        <v>1.1677599999999999</v>
      </c>
      <c r="H62" s="1">
        <v>9.3975667379602001E-2</v>
      </c>
      <c r="I62" s="1">
        <v>2.5819999999999999E-2</v>
      </c>
      <c r="J62" s="2">
        <v>-330390944315</v>
      </c>
      <c r="K62" s="2">
        <v>513473853123</v>
      </c>
      <c r="L62" s="3">
        <v>19886877883420</v>
      </c>
      <c r="M62" s="3">
        <v>357888831985</v>
      </c>
      <c r="N62" s="3">
        <v>1720160600872</v>
      </c>
      <c r="O62" s="2">
        <v>317829464554</v>
      </c>
      <c r="P62" s="2">
        <v>2410435132066</v>
      </c>
      <c r="Q62" s="3">
        <v>3574283102477</v>
      </c>
      <c r="R62" s="3">
        <v>3060809249354</v>
      </c>
      <c r="S62" s="3">
        <v>488372673886</v>
      </c>
      <c r="T62">
        <v>4.6550000000000001E-2</v>
      </c>
      <c r="U62">
        <f t="shared" si="0"/>
        <v>0.21375615940694515</v>
      </c>
      <c r="V62">
        <f t="shared" si="1"/>
        <v>-3.6763656647379732</v>
      </c>
      <c r="W62">
        <f t="shared" si="2"/>
        <v>0.18345211207790107</v>
      </c>
      <c r="X62">
        <f t="shared" si="3"/>
        <v>1</v>
      </c>
      <c r="Y62">
        <f t="shared" si="4"/>
        <v>0</v>
      </c>
      <c r="Z62">
        <f t="shared" si="5"/>
        <v>0</v>
      </c>
      <c r="AA62">
        <f t="shared" si="6"/>
        <v>0</v>
      </c>
    </row>
    <row r="63" spans="1:27" x14ac:dyDescent="0.35">
      <c r="A63" s="1">
        <v>6.7827745532941006E-2</v>
      </c>
      <c r="B63" s="1">
        <v>0.120569274898009</v>
      </c>
      <c r="C63" s="1">
        <v>1.695768164226E-3</v>
      </c>
      <c r="D63" s="1">
        <v>14.74587</v>
      </c>
      <c r="E63" s="1">
        <v>10.54636</v>
      </c>
      <c r="F63" s="1">
        <v>0.11244</v>
      </c>
      <c r="G63" s="1">
        <v>0.94440000000000002</v>
      </c>
      <c r="H63" s="1">
        <v>3.6229596908064002E-2</v>
      </c>
      <c r="I63" s="1">
        <v>-1.0460000000000001E-2</v>
      </c>
      <c r="J63" s="2">
        <v>367433459203</v>
      </c>
      <c r="K63" s="2">
        <v>-221543486265</v>
      </c>
      <c r="L63" s="3">
        <v>21188290505406</v>
      </c>
      <c r="M63" s="3">
        <v>31466869728</v>
      </c>
      <c r="N63" s="3">
        <v>744068396829</v>
      </c>
      <c r="O63" s="2">
        <v>13930180346</v>
      </c>
      <c r="P63" s="2">
        <v>2234592468213</v>
      </c>
      <c r="Q63" s="3">
        <v>3763083379410</v>
      </c>
      <c r="R63" s="3">
        <v>3984626865675</v>
      </c>
      <c r="S63" s="3">
        <v>34826981447</v>
      </c>
      <c r="T63">
        <v>4.4470000000000003E-2</v>
      </c>
      <c r="U63">
        <f t="shared" si="0"/>
        <v>1.3535360349867812E-2</v>
      </c>
      <c r="V63">
        <f t="shared" si="1"/>
        <v>-3.6980386394168896</v>
      </c>
      <c r="W63">
        <f t="shared" si="2"/>
        <v>4.5353339570119444E-2</v>
      </c>
      <c r="X63">
        <f t="shared" si="3"/>
        <v>1</v>
      </c>
      <c r="Y63">
        <f t="shared" si="4"/>
        <v>0</v>
      </c>
      <c r="Z63">
        <f t="shared" si="5"/>
        <v>0</v>
      </c>
      <c r="AA63">
        <f t="shared" si="6"/>
        <v>0</v>
      </c>
    </row>
    <row r="64" spans="1:27" x14ac:dyDescent="0.35">
      <c r="A64" s="1" t="s">
        <v>3</v>
      </c>
      <c r="B64" s="1" t="s">
        <v>3</v>
      </c>
      <c r="C64" s="1" t="s">
        <v>3</v>
      </c>
      <c r="D64" s="1" t="s">
        <v>3</v>
      </c>
      <c r="E64" s="1" t="s">
        <v>3</v>
      </c>
      <c r="F64" s="1" t="s">
        <v>3</v>
      </c>
      <c r="G64" s="1" t="s">
        <v>3</v>
      </c>
      <c r="H64" s="1" t="s">
        <v>3</v>
      </c>
      <c r="I64" s="1" t="s">
        <v>3</v>
      </c>
      <c r="J64" s="2" t="s">
        <v>3</v>
      </c>
      <c r="K64" s="2" t="s">
        <v>3</v>
      </c>
      <c r="L64" s="2" t="s">
        <v>3</v>
      </c>
      <c r="M64" s="2" t="s">
        <v>3</v>
      </c>
      <c r="N64" s="2" t="s">
        <v>3</v>
      </c>
      <c r="O64" s="2" t="s">
        <v>3</v>
      </c>
      <c r="P64" s="2" t="s">
        <v>3</v>
      </c>
      <c r="Q64" s="2" t="s">
        <v>3</v>
      </c>
      <c r="R64" s="2" t="s">
        <v>3</v>
      </c>
      <c r="S64" s="2" t="s">
        <v>3</v>
      </c>
      <c r="T64" s="1" t="s">
        <v>3</v>
      </c>
      <c r="U64" t="e">
        <f t="shared" si="0"/>
        <v>#VALUE!</v>
      </c>
      <c r="V64" t="e">
        <f t="shared" si="1"/>
        <v>#VALUE!</v>
      </c>
      <c r="W64" t="e">
        <f t="shared" si="2"/>
        <v>#VALUE!</v>
      </c>
      <c r="X64" t="e">
        <f t="shared" si="3"/>
        <v>#VALUE!</v>
      </c>
      <c r="Y64" t="e">
        <f t="shared" si="4"/>
        <v>#VALUE!</v>
      </c>
      <c r="Z64" t="e">
        <f t="shared" si="5"/>
        <v>#VALUE!</v>
      </c>
      <c r="AA64" t="e">
        <f t="shared" si="6"/>
        <v>#VALUE!</v>
      </c>
    </row>
    <row r="65" spans="1:27" x14ac:dyDescent="0.35">
      <c r="A65" s="1">
        <v>18.1733861552317</v>
      </c>
      <c r="B65" s="1">
        <v>60.521544671323198</v>
      </c>
      <c r="C65" s="1">
        <v>0.23511834311983801</v>
      </c>
      <c r="D65" s="1">
        <v>269.50261999999998</v>
      </c>
      <c r="E65" s="1">
        <v>68.440150000000003</v>
      </c>
      <c r="F65" s="1">
        <v>5.7099500000000001</v>
      </c>
      <c r="G65" s="1">
        <v>1.4604900000000001</v>
      </c>
      <c r="H65" s="1">
        <v>0.42172495086047601</v>
      </c>
      <c r="I65" s="1">
        <v>8.0089999999999995E-2</v>
      </c>
      <c r="J65" s="1">
        <v>94944211.046810001</v>
      </c>
      <c r="K65" s="1">
        <v>64532543.759549998</v>
      </c>
      <c r="L65" s="1">
        <v>805765348.24249005</v>
      </c>
      <c r="M65" s="1">
        <v>117091994.41869</v>
      </c>
      <c r="N65" s="1">
        <v>269852994.61058003</v>
      </c>
      <c r="O65" s="1">
        <v>116287705.20211001</v>
      </c>
      <c r="P65" s="1">
        <v>551467036.78043997</v>
      </c>
      <c r="Q65" s="1">
        <v>204670335.71065</v>
      </c>
      <c r="R65" s="1">
        <v>140137791.95109999</v>
      </c>
      <c r="S65" s="1">
        <v>150447320.81729999</v>
      </c>
      <c r="T65" s="1">
        <v>0.17676</v>
      </c>
      <c r="U65">
        <f t="shared" si="0"/>
        <v>1.3411252408300718</v>
      </c>
      <c r="V65">
        <f t="shared" si="1"/>
        <v>-1.0425073537696301</v>
      </c>
      <c r="W65">
        <f t="shared" si="2"/>
        <v>0.82702812531205572</v>
      </c>
      <c r="X65">
        <f t="shared" si="3"/>
        <v>0</v>
      </c>
      <c r="Y65">
        <f t="shared" si="4"/>
        <v>0</v>
      </c>
      <c r="Z65">
        <f t="shared" si="5"/>
        <v>0</v>
      </c>
      <c r="AA65">
        <f t="shared" si="6"/>
        <v>0</v>
      </c>
    </row>
    <row r="66" spans="1:27" x14ac:dyDescent="0.35">
      <c r="A66" s="1">
        <v>17.7383550353731</v>
      </c>
      <c r="B66" s="1">
        <v>55.131095012299603</v>
      </c>
      <c r="C66" s="1">
        <v>0.18130973481732099</v>
      </c>
      <c r="D66" s="1">
        <v>148.96816000000001</v>
      </c>
      <c r="E66" s="1">
        <v>56.842010000000002</v>
      </c>
      <c r="F66" s="1">
        <v>6.1054300000000001</v>
      </c>
      <c r="G66" s="1">
        <v>1.5332600000000001</v>
      </c>
      <c r="H66" s="1">
        <v>0.390493073479175</v>
      </c>
      <c r="I66" s="1">
        <v>8.3599999999999994E-2</v>
      </c>
      <c r="J66" s="1">
        <v>66460261.396679997</v>
      </c>
      <c r="K66" s="1">
        <v>76342454.039619997</v>
      </c>
      <c r="L66" s="1">
        <v>913193406.74381995</v>
      </c>
      <c r="M66" s="1">
        <v>153413512.79001999</v>
      </c>
      <c r="N66" s="1">
        <v>335620743.70927</v>
      </c>
      <c r="O66" s="1">
        <v>152457503.43555</v>
      </c>
      <c r="P66" s="1">
        <v>519077528.37748003</v>
      </c>
      <c r="Q66" s="1">
        <v>219505522.47940999</v>
      </c>
      <c r="R66" s="1">
        <v>143163068.43979999</v>
      </c>
      <c r="S66" s="1">
        <v>155831978.01424</v>
      </c>
      <c r="T66" s="1">
        <v>0.30720999999999998</v>
      </c>
      <c r="U66">
        <f t="shared" ref="U66:U129" si="7">1.03*(K66/L66) + 3.07*(S66/L66) + 0.66*(M66/R66) +0.4*(N66/L66)</f>
        <v>1.4642534340170745</v>
      </c>
      <c r="V66">
        <f t="shared" ref="V66:V129" si="8">-4.3-4.5*(O66/L66)+5.7*(P66/L66)+0.004*(Q66/R66)</f>
        <v>-1.8051464851693222</v>
      </c>
      <c r="W66">
        <f t="shared" ref="W66:W129" si="9">0.057+1.65*(K66/L66)+3.404*(S66/L66)+0.016*(O66/L66)</f>
        <v>0.77848617972407796</v>
      </c>
      <c r="X66">
        <f t="shared" si="3"/>
        <v>0</v>
      </c>
      <c r="Y66">
        <f t="shared" si="4"/>
        <v>0</v>
      </c>
      <c r="Z66">
        <f t="shared" si="5"/>
        <v>0</v>
      </c>
      <c r="AA66">
        <f t="shared" si="6"/>
        <v>0</v>
      </c>
    </row>
    <row r="67" spans="1:27" x14ac:dyDescent="0.35">
      <c r="A67" s="1">
        <v>9.9886481562652794</v>
      </c>
      <c r="B67" s="1">
        <v>44.341934846642602</v>
      </c>
      <c r="C67" s="1">
        <v>0.106907287319026</v>
      </c>
      <c r="D67" s="1">
        <v>517.86775</v>
      </c>
      <c r="E67" s="1">
        <v>83.074359999999999</v>
      </c>
      <c r="F67" s="1">
        <v>2.4447999999999999</v>
      </c>
      <c r="G67" s="1">
        <v>0.69720000000000004</v>
      </c>
      <c r="H67" s="1">
        <v>0.25601740058066702</v>
      </c>
      <c r="I67" s="1">
        <v>-7.6160000000000005E-2</v>
      </c>
      <c r="J67" s="1">
        <v>75483891.324880004</v>
      </c>
      <c r="K67" s="1">
        <v>-167647905.53781</v>
      </c>
      <c r="L67" s="1">
        <v>2201131474.7603798</v>
      </c>
      <c r="M67" s="1">
        <v>156535636.04890001</v>
      </c>
      <c r="N67" s="1">
        <v>398660680.36320001</v>
      </c>
      <c r="O67" s="1">
        <v>155539477.42824</v>
      </c>
      <c r="P67" s="1">
        <v>1828575974.76038</v>
      </c>
      <c r="Q67" s="1">
        <v>386008182.00212997</v>
      </c>
      <c r="R67" s="1">
        <v>553656087.53994</v>
      </c>
      <c r="S67" s="1">
        <v>166472012.45587999</v>
      </c>
      <c r="T67" s="1">
        <v>0.15143999999999999</v>
      </c>
      <c r="U67">
        <f t="shared" si="7"/>
        <v>0.41278419539542549</v>
      </c>
      <c r="V67">
        <f t="shared" si="8"/>
        <v>0.12004215619580016</v>
      </c>
      <c r="W67">
        <f t="shared" si="9"/>
        <v>0.18990451808796538</v>
      </c>
      <c r="X67">
        <f t="shared" ref="X67:X130" si="10">IF(U67&gt;=0.862,0,1)</f>
        <v>1</v>
      </c>
      <c r="Y67">
        <f t="shared" ref="Y67:Y130" si="11">IF(V67&lt;=0,0,1)</f>
        <v>1</v>
      </c>
      <c r="Z67">
        <f t="shared" ref="Z67:Z130" si="12">IF(W67&gt;=0.01,0,1)</f>
        <v>0</v>
      </c>
      <c r="AA67">
        <f t="shared" ref="AA67:AA130" si="13">IF(SUM(X67:Z67)&gt;=2,1,0)</f>
        <v>1</v>
      </c>
    </row>
    <row r="68" spans="1:27" x14ac:dyDescent="0.35">
      <c r="A68" s="1">
        <v>6.3898940342237296</v>
      </c>
      <c r="B68" s="1">
        <v>32.091108095815201</v>
      </c>
      <c r="C68" s="1">
        <v>0.12715197035935</v>
      </c>
      <c r="D68" s="1">
        <v>284.90320000000003</v>
      </c>
      <c r="E68" s="1">
        <v>67.272239999999996</v>
      </c>
      <c r="F68" s="1">
        <v>0.94506999999999997</v>
      </c>
      <c r="G68" s="1">
        <v>0.71411000000000002</v>
      </c>
      <c r="H68" s="1">
        <v>0.32281550018899302</v>
      </c>
      <c r="I68" s="1">
        <v>-5.6759999999999998E-2</v>
      </c>
      <c r="J68" s="1">
        <v>178131200.89341</v>
      </c>
      <c r="K68" s="1">
        <v>-130663870.96774</v>
      </c>
      <c r="L68" s="1">
        <v>2301965345.6221199</v>
      </c>
      <c r="M68" s="1">
        <v>144893359.91947001</v>
      </c>
      <c r="N68" s="1">
        <v>726834726.23562002</v>
      </c>
      <c r="O68" s="1">
        <v>143871557.54047</v>
      </c>
      <c r="P68" s="1">
        <v>1548583594.4700501</v>
      </c>
      <c r="Q68" s="1">
        <v>326374930.87558001</v>
      </c>
      <c r="R68" s="1">
        <v>457038801.84332001</v>
      </c>
      <c r="S68" s="1">
        <v>286288816.71528</v>
      </c>
      <c r="T68" s="1">
        <v>0.17934</v>
      </c>
      <c r="U68">
        <f t="shared" si="7"/>
        <v>0.65887788120319768</v>
      </c>
      <c r="V68">
        <f t="shared" si="8"/>
        <v>-0.74387353619578811</v>
      </c>
      <c r="W68">
        <f t="shared" si="9"/>
        <v>0.38768859675511824</v>
      </c>
      <c r="X68">
        <f t="shared" si="10"/>
        <v>1</v>
      </c>
      <c r="Y68">
        <f t="shared" si="11"/>
        <v>0</v>
      </c>
      <c r="Z68">
        <f t="shared" si="12"/>
        <v>0</v>
      </c>
      <c r="AA68">
        <f t="shared" si="13"/>
        <v>0</v>
      </c>
    </row>
    <row r="69" spans="1:27" x14ac:dyDescent="0.35">
      <c r="A69" s="1">
        <v>1.9294619504866</v>
      </c>
      <c r="B69" s="1">
        <v>-49.210937286931099</v>
      </c>
      <c r="C69" s="1">
        <v>-0.143329197221155</v>
      </c>
      <c r="D69" s="1">
        <v>283.78323</v>
      </c>
      <c r="E69" s="1">
        <v>70.242750000000001</v>
      </c>
      <c r="F69" s="1">
        <v>-3.1413899999999999</v>
      </c>
      <c r="G69" s="1">
        <v>0.75851000000000002</v>
      </c>
      <c r="H69" s="1">
        <v>0.25765021363010998</v>
      </c>
      <c r="I69" s="1">
        <v>-4.3020000000000003E-2</v>
      </c>
      <c r="J69" s="1">
        <v>101639000</v>
      </c>
      <c r="K69" s="1">
        <v>-107454000</v>
      </c>
      <c r="L69" s="1">
        <v>2497922000</v>
      </c>
      <c r="M69" s="1">
        <v>-294536000</v>
      </c>
      <c r="N69" s="1">
        <v>618346000</v>
      </c>
      <c r="O69" s="1">
        <v>-295497000</v>
      </c>
      <c r="P69" s="1">
        <v>1754609000</v>
      </c>
      <c r="Q69" s="1">
        <v>337510000</v>
      </c>
      <c r="R69" s="1">
        <v>444964000</v>
      </c>
      <c r="S69" s="1">
        <v>-343982000</v>
      </c>
      <c r="T69" s="1">
        <v>0.11912</v>
      </c>
      <c r="U69">
        <f t="shared" si="7"/>
        <v>-0.80492676124323592</v>
      </c>
      <c r="V69">
        <f t="shared" si="8"/>
        <v>0.23920763068941367</v>
      </c>
      <c r="W69">
        <f t="shared" si="9"/>
        <v>-0.484626912289495</v>
      </c>
      <c r="X69">
        <f t="shared" si="10"/>
        <v>1</v>
      </c>
      <c r="Y69">
        <f t="shared" si="11"/>
        <v>1</v>
      </c>
      <c r="Z69">
        <f t="shared" si="12"/>
        <v>1</v>
      </c>
      <c r="AA69">
        <f t="shared" si="13"/>
        <v>1</v>
      </c>
    </row>
    <row r="70" spans="1:27" x14ac:dyDescent="0.35">
      <c r="A70" s="1">
        <v>-5.7899293006961896</v>
      </c>
      <c r="B70" s="1">
        <v>-23.7090804114973</v>
      </c>
      <c r="C70" s="1">
        <v>-2.4974533288410002E-3</v>
      </c>
      <c r="D70" s="1">
        <v>285.42513000000002</v>
      </c>
      <c r="E70" s="1">
        <v>68.869280000000003</v>
      </c>
      <c r="F70" s="1">
        <v>-5.0930000000000003E-2</v>
      </c>
      <c r="G70" s="1">
        <v>1.03237</v>
      </c>
      <c r="H70" s="1">
        <v>0.246315646976347</v>
      </c>
      <c r="I70" s="1">
        <v>4.2399999999999998E-3</v>
      </c>
      <c r="J70" s="1">
        <v>19446000</v>
      </c>
      <c r="K70" s="1">
        <v>12016000</v>
      </c>
      <c r="L70" s="1">
        <v>2835511000</v>
      </c>
      <c r="M70" s="1">
        <v>-153600000</v>
      </c>
      <c r="N70" s="1">
        <v>656854000</v>
      </c>
      <c r="O70" s="1">
        <v>-154785000</v>
      </c>
      <c r="P70" s="1">
        <v>1952796000</v>
      </c>
      <c r="Q70" s="1">
        <v>383265000</v>
      </c>
      <c r="R70" s="1">
        <v>371249000</v>
      </c>
      <c r="S70" s="1">
        <v>-6660000</v>
      </c>
      <c r="T70" s="1">
        <v>4.9709999999999997E-2</v>
      </c>
      <c r="U70">
        <f t="shared" si="7"/>
        <v>-0.18325224013749394</v>
      </c>
      <c r="V70">
        <f t="shared" si="8"/>
        <v>-0.12467539525418059</v>
      </c>
      <c r="W70">
        <f t="shared" si="9"/>
        <v>5.5123512834194623E-2</v>
      </c>
      <c r="X70">
        <f t="shared" si="10"/>
        <v>1</v>
      </c>
      <c r="Y70">
        <f t="shared" si="11"/>
        <v>0</v>
      </c>
      <c r="Z70">
        <f t="shared" si="12"/>
        <v>0</v>
      </c>
      <c r="AA70">
        <f t="shared" si="13"/>
        <v>0</v>
      </c>
    </row>
    <row r="71" spans="1:27" x14ac:dyDescent="0.35">
      <c r="A71" s="1">
        <v>-45.298050470255198</v>
      </c>
      <c r="B71" s="1">
        <v>-994.20776474243598</v>
      </c>
      <c r="C71" s="1">
        <v>-5.8486111570881003E-2</v>
      </c>
      <c r="D71" s="1" t="s">
        <v>3</v>
      </c>
      <c r="E71" s="1">
        <v>106.20511</v>
      </c>
      <c r="F71" s="1">
        <v>-0.77105000000000001</v>
      </c>
      <c r="G71" s="1">
        <v>0.28255999999999998</v>
      </c>
      <c r="H71" s="1">
        <v>0.26072535125274598</v>
      </c>
      <c r="I71" s="1">
        <v>-0.49375000000000002</v>
      </c>
      <c r="J71" s="1">
        <v>41208000</v>
      </c>
      <c r="K71" s="1">
        <v>-852185000</v>
      </c>
      <c r="L71">
        <v>1725948000</v>
      </c>
      <c r="M71">
        <v>-1032619000</v>
      </c>
      <c r="N71">
        <v>594644000</v>
      </c>
      <c r="O71">
        <v>-1030188000.0000001</v>
      </c>
      <c r="P71" s="1">
        <v>1833045000</v>
      </c>
      <c r="Q71">
        <v>335622000</v>
      </c>
      <c r="R71">
        <v>1187807000</v>
      </c>
      <c r="S71">
        <v>-133391000</v>
      </c>
      <c r="T71">
        <v>-0.46788999999999997</v>
      </c>
      <c r="U71">
        <f t="shared" si="7"/>
        <v>-1.1817860422651241</v>
      </c>
      <c r="V71">
        <f t="shared" si="8"/>
        <v>4.4407924270506438</v>
      </c>
      <c r="W71">
        <f t="shared" si="9"/>
        <v>-1.0303162007198361</v>
      </c>
      <c r="X71">
        <f t="shared" si="10"/>
        <v>1</v>
      </c>
      <c r="Y71">
        <f t="shared" si="11"/>
        <v>1</v>
      </c>
      <c r="Z71">
        <f t="shared" si="12"/>
        <v>1</v>
      </c>
      <c r="AA71">
        <f t="shared" si="13"/>
        <v>1</v>
      </c>
    </row>
    <row r="72" spans="1:27" x14ac:dyDescent="0.35">
      <c r="A72" s="1">
        <v>-50.765998211100701</v>
      </c>
      <c r="B72" s="1" t="s">
        <v>3</v>
      </c>
      <c r="C72" s="1">
        <v>-0.39875306309310199</v>
      </c>
      <c r="D72" s="1" t="s">
        <v>3</v>
      </c>
      <c r="E72" s="1">
        <v>184.71716000000001</v>
      </c>
      <c r="F72" s="1">
        <v>-5.3018599999999996</v>
      </c>
      <c r="G72" s="1">
        <v>0.92027999999999999</v>
      </c>
      <c r="H72" s="1">
        <v>0.31952917017301502</v>
      </c>
      <c r="I72" s="1">
        <v>-2.0109999999999999E-2</v>
      </c>
      <c r="J72" s="1">
        <v>19908000</v>
      </c>
      <c r="K72" s="1">
        <v>-22283000</v>
      </c>
      <c r="L72">
        <v>1108197000</v>
      </c>
      <c r="M72">
        <v>-731051000</v>
      </c>
      <c r="N72">
        <v>452796000</v>
      </c>
      <c r="O72">
        <v>-725462000</v>
      </c>
      <c r="P72" s="1">
        <v>2047030000</v>
      </c>
      <c r="Q72">
        <v>257223000</v>
      </c>
      <c r="R72">
        <v>279506000</v>
      </c>
      <c r="S72">
        <v>-565062000</v>
      </c>
      <c r="T72">
        <v>-1.3768199999999999</v>
      </c>
      <c r="U72">
        <f t="shared" si="7"/>
        <v>-3.1488844825004865</v>
      </c>
      <c r="V72">
        <f t="shared" si="8"/>
        <v>9.1784062704949498</v>
      </c>
      <c r="W72">
        <f t="shared" si="9"/>
        <v>-1.7223274932164587</v>
      </c>
      <c r="X72">
        <f t="shared" si="10"/>
        <v>1</v>
      </c>
      <c r="Y72">
        <f t="shared" si="11"/>
        <v>1</v>
      </c>
      <c r="Z72">
        <f t="shared" si="12"/>
        <v>1</v>
      </c>
      <c r="AA72">
        <f t="shared" si="13"/>
        <v>1</v>
      </c>
    </row>
    <row r="73" spans="1:27" x14ac:dyDescent="0.35">
      <c r="A73" s="1">
        <v>18.7064991224171</v>
      </c>
      <c r="B73" s="1" t="s">
        <v>3</v>
      </c>
      <c r="C73" s="1">
        <v>-5.5336768533069999E-2</v>
      </c>
      <c r="D73" s="1" t="s">
        <v>3</v>
      </c>
      <c r="E73" s="1">
        <v>215.82212999999999</v>
      </c>
      <c r="F73" s="1">
        <v>-0.53388999999999998</v>
      </c>
      <c r="G73" s="1">
        <v>0.51337999999999995</v>
      </c>
      <c r="H73" s="1">
        <v>0.34379128344154403</v>
      </c>
      <c r="I73" s="1">
        <v>-8.0369999999999997E-2</v>
      </c>
      <c r="J73" s="1">
        <v>6436000</v>
      </c>
      <c r="K73" s="1">
        <v>-64973000</v>
      </c>
      <c r="L73">
        <v>808431000</v>
      </c>
      <c r="M73">
        <v>185069000</v>
      </c>
      <c r="N73">
        <v>329460000</v>
      </c>
      <c r="O73">
        <v>165479000</v>
      </c>
      <c r="P73" s="1">
        <v>1744773000</v>
      </c>
      <c r="Q73">
        <v>68546000</v>
      </c>
      <c r="R73">
        <v>133519000</v>
      </c>
      <c r="S73">
        <v>-53030000</v>
      </c>
      <c r="T73">
        <v>-1.7312799999999999</v>
      </c>
      <c r="U73">
        <f t="shared" si="7"/>
        <v>0.79366905878800464</v>
      </c>
      <c r="V73">
        <f t="shared" si="8"/>
        <v>7.0828028979706348</v>
      </c>
      <c r="W73">
        <f t="shared" si="9"/>
        <v>-0.29562366979989629</v>
      </c>
      <c r="X73">
        <f t="shared" si="10"/>
        <v>1</v>
      </c>
      <c r="Y73">
        <f t="shared" si="11"/>
        <v>1</v>
      </c>
      <c r="Z73">
        <f t="shared" si="12"/>
        <v>1</v>
      </c>
      <c r="AA73">
        <f t="shared" si="13"/>
        <v>1</v>
      </c>
    </row>
    <row r="74" spans="1:27" x14ac:dyDescent="0.35">
      <c r="A74" s="1">
        <v>-5.35233915881311</v>
      </c>
      <c r="B74" s="1" t="s">
        <v>3</v>
      </c>
      <c r="C74" s="1">
        <v>3.7866843821491997E-2</v>
      </c>
      <c r="D74" s="1" t="s">
        <v>3</v>
      </c>
      <c r="E74" s="1">
        <v>258.97541999999999</v>
      </c>
      <c r="F74" s="1">
        <v>0.30342999999999998</v>
      </c>
      <c r="G74" s="1">
        <v>0.38490999999999997</v>
      </c>
      <c r="H74" s="1">
        <v>0.42162269096664101</v>
      </c>
      <c r="I74" s="1">
        <v>-0.14810000000000001</v>
      </c>
      <c r="J74" s="1">
        <v>31303000</v>
      </c>
      <c r="K74" s="1">
        <v>-101866000</v>
      </c>
      <c r="L74">
        <v>687812000</v>
      </c>
      <c r="M74">
        <v>-44284000</v>
      </c>
      <c r="N74">
        <v>315425000</v>
      </c>
      <c r="O74">
        <v>-43892000</v>
      </c>
      <c r="P74" s="1">
        <v>1781264000</v>
      </c>
      <c r="Q74">
        <v>63746000</v>
      </c>
      <c r="R74">
        <v>165612000</v>
      </c>
      <c r="S74">
        <v>28329000</v>
      </c>
      <c r="T74">
        <v>-2.0888599999999999</v>
      </c>
      <c r="U74">
        <f t="shared" si="7"/>
        <v>-1.9144743904721956E-2</v>
      </c>
      <c r="V74">
        <f t="shared" si="8"/>
        <v>10.750301227084734</v>
      </c>
      <c r="W74">
        <f t="shared" si="9"/>
        <v>-4.8187545433926685E-2</v>
      </c>
      <c r="X74">
        <f t="shared" si="10"/>
        <v>1</v>
      </c>
      <c r="Y74">
        <f t="shared" si="11"/>
        <v>1</v>
      </c>
      <c r="Z74">
        <f t="shared" si="12"/>
        <v>1</v>
      </c>
      <c r="AA74">
        <f t="shared" si="13"/>
        <v>1</v>
      </c>
    </row>
    <row r="75" spans="1:27" x14ac:dyDescent="0.35">
      <c r="A75" s="1">
        <v>47.462220408204701</v>
      </c>
      <c r="B75" s="1" t="s">
        <v>3</v>
      </c>
      <c r="C75" s="1">
        <v>5.7869132153152002E-2</v>
      </c>
      <c r="D75" s="1">
        <v>118.71451</v>
      </c>
      <c r="E75" s="1">
        <v>43.221969999999999</v>
      </c>
      <c r="F75" s="1">
        <v>0.26034000000000002</v>
      </c>
      <c r="G75" s="1">
        <v>0.98997999999999997</v>
      </c>
      <c r="H75" s="1">
        <v>0.64186899018655896</v>
      </c>
      <c r="I75" s="1">
        <v>-2.2300000000000002E-3</v>
      </c>
      <c r="J75" s="1">
        <v>23578000</v>
      </c>
      <c r="K75" s="1">
        <v>-225000</v>
      </c>
      <c r="L75">
        <v>101106000</v>
      </c>
      <c r="M75">
        <v>163885000</v>
      </c>
      <c r="N75">
        <v>253191000</v>
      </c>
      <c r="O75">
        <v>180251000</v>
      </c>
      <c r="P75">
        <v>43700000</v>
      </c>
      <c r="Q75">
        <v>22226000</v>
      </c>
      <c r="R75">
        <v>22451000</v>
      </c>
      <c r="S75">
        <v>22827000</v>
      </c>
      <c r="T75">
        <v>-12.417999999999999</v>
      </c>
      <c r="U75">
        <f t="shared" si="7"/>
        <v>6.5103015704611744</v>
      </c>
      <c r="V75">
        <f t="shared" si="8"/>
        <v>-9.8549535049025625</v>
      </c>
      <c r="W75">
        <f t="shared" si="9"/>
        <v>0.85038391391213175</v>
      </c>
      <c r="X75">
        <f t="shared" si="10"/>
        <v>0</v>
      </c>
      <c r="Y75">
        <f t="shared" si="11"/>
        <v>0</v>
      </c>
      <c r="Z75">
        <f t="shared" si="12"/>
        <v>0</v>
      </c>
      <c r="AA75">
        <f t="shared" si="13"/>
        <v>0</v>
      </c>
    </row>
    <row r="76" spans="1:27" x14ac:dyDescent="0.35">
      <c r="A76" s="1">
        <v>-16.1596113113687</v>
      </c>
      <c r="B76" s="1">
        <v>-40.810303531232897</v>
      </c>
      <c r="C76" s="1">
        <v>-3.0900920651931001E-2</v>
      </c>
      <c r="D76" s="1">
        <v>101.73891</v>
      </c>
      <c r="E76" s="1">
        <v>43.783070000000002</v>
      </c>
      <c r="F76" s="1">
        <v>-1.5889200000000001</v>
      </c>
      <c r="G76" s="1">
        <v>1.11622</v>
      </c>
      <c r="H76" s="1">
        <v>0.20784999865943801</v>
      </c>
      <c r="I76" s="1">
        <v>2.0709999999999999E-2</v>
      </c>
      <c r="J76" s="1">
        <v>-1135000</v>
      </c>
      <c r="K76" s="1">
        <v>1941907</v>
      </c>
      <c r="L76">
        <v>93774925</v>
      </c>
      <c r="M76">
        <v>-23748000</v>
      </c>
      <c r="N76">
        <v>20253000</v>
      </c>
      <c r="O76" s="1">
        <v>-23853000</v>
      </c>
      <c r="P76" s="1">
        <v>41057537</v>
      </c>
      <c r="Q76">
        <v>18650230</v>
      </c>
      <c r="R76">
        <v>16708323</v>
      </c>
      <c r="S76">
        <v>-3011000</v>
      </c>
      <c r="T76">
        <v>-13.50534</v>
      </c>
      <c r="U76">
        <f t="shared" si="7"/>
        <v>-0.92893095097059841</v>
      </c>
      <c r="V76">
        <f t="shared" si="8"/>
        <v>-0.65526068229740875</v>
      </c>
      <c r="W76">
        <f t="shared" si="9"/>
        <v>-2.2199694907780509E-2</v>
      </c>
      <c r="X76">
        <f t="shared" si="10"/>
        <v>1</v>
      </c>
      <c r="Y76">
        <f t="shared" si="11"/>
        <v>0</v>
      </c>
      <c r="Z76">
        <f t="shared" si="12"/>
        <v>1</v>
      </c>
      <c r="AA76">
        <f t="shared" si="13"/>
        <v>1</v>
      </c>
    </row>
    <row r="77" spans="1:27" x14ac:dyDescent="0.35">
      <c r="A77" s="1">
        <v>-9.9097587624144907</v>
      </c>
      <c r="B77" s="1">
        <v>-23.991688921091701</v>
      </c>
      <c r="C77" s="1">
        <v>-2.4655491393583001E-2</v>
      </c>
      <c r="D77" s="1">
        <v>118.38641</v>
      </c>
      <c r="E77" s="1">
        <v>46.547440000000002</v>
      </c>
      <c r="F77" s="1">
        <v>-1.1333200000000001</v>
      </c>
      <c r="G77" s="1">
        <v>0.66649000000000003</v>
      </c>
      <c r="H77" s="1">
        <v>0.28784673361338398</v>
      </c>
      <c r="I77" s="1">
        <v>-5.8999999999999997E-2</v>
      </c>
      <c r="J77" s="1">
        <v>4870590</v>
      </c>
      <c r="K77" s="1">
        <v>-4817060</v>
      </c>
      <c r="L77" s="1">
        <v>81645874</v>
      </c>
      <c r="M77" s="1">
        <v>-16337206</v>
      </c>
      <c r="N77" s="1">
        <v>25247152</v>
      </c>
      <c r="O77" s="1">
        <v>-16155974</v>
      </c>
      <c r="P77" s="1">
        <v>38004066</v>
      </c>
      <c r="Q77" s="1">
        <v>9626354</v>
      </c>
      <c r="R77" s="1">
        <v>14443414</v>
      </c>
      <c r="S77" s="1">
        <v>-2162543</v>
      </c>
      <c r="T77" s="1">
        <v>-14.93942</v>
      </c>
      <c r="U77">
        <f t="shared" si="7"/>
        <v>-0.76493096699568497</v>
      </c>
      <c r="V77">
        <f t="shared" si="8"/>
        <v>-0.75367599350208181</v>
      </c>
      <c r="W77">
        <f t="shared" si="9"/>
        <v>-0.1336763954293636</v>
      </c>
      <c r="X77">
        <f t="shared" si="10"/>
        <v>1</v>
      </c>
      <c r="Y77">
        <f t="shared" si="11"/>
        <v>0</v>
      </c>
      <c r="Z77">
        <f t="shared" si="12"/>
        <v>1</v>
      </c>
      <c r="AA77">
        <f t="shared" si="13"/>
        <v>1</v>
      </c>
    </row>
    <row r="78" spans="1:27" x14ac:dyDescent="0.35">
      <c r="A78" s="1">
        <v>7.0928174518170497</v>
      </c>
      <c r="B78" s="1">
        <v>17.769271556271001</v>
      </c>
      <c r="C78" s="1">
        <v>3.8862335666950002E-3</v>
      </c>
      <c r="D78" s="1">
        <v>115.79510999999999</v>
      </c>
      <c r="E78" s="1">
        <v>47.013350000000003</v>
      </c>
      <c r="F78" s="1">
        <v>0.17393</v>
      </c>
      <c r="G78" s="1">
        <v>0.61636000000000002</v>
      </c>
      <c r="H78" s="1">
        <v>0.32595838617813</v>
      </c>
      <c r="I78" s="1">
        <v>-6.9010000000000002E-2</v>
      </c>
      <c r="J78" s="1">
        <v>4265488</v>
      </c>
      <c r="K78" s="1">
        <v>-4923479</v>
      </c>
      <c r="L78" s="1">
        <v>71348533</v>
      </c>
      <c r="M78" s="1">
        <v>-1394981</v>
      </c>
      <c r="N78" s="1">
        <v>24934905</v>
      </c>
      <c r="O78" s="1">
        <v>-1594733</v>
      </c>
      <c r="P78" s="1">
        <v>33543338</v>
      </c>
      <c r="Q78" s="1">
        <v>7910239</v>
      </c>
      <c r="R78" s="1">
        <v>12833718</v>
      </c>
      <c r="S78" s="1">
        <v>297286</v>
      </c>
      <c r="T78" s="1">
        <v>-16.963989999999999</v>
      </c>
      <c r="U78">
        <f t="shared" si="7"/>
        <v>9.767855775301898E-3</v>
      </c>
      <c r="V78">
        <f t="shared" si="8"/>
        <v>-1.5171925145627088</v>
      </c>
      <c r="W78">
        <f t="shared" si="9"/>
        <v>-4.3034215615897806E-2</v>
      </c>
      <c r="X78">
        <f t="shared" si="10"/>
        <v>1</v>
      </c>
      <c r="Y78">
        <f t="shared" si="11"/>
        <v>0</v>
      </c>
      <c r="Z78">
        <f t="shared" si="12"/>
        <v>1</v>
      </c>
      <c r="AA78">
        <f t="shared" si="13"/>
        <v>1</v>
      </c>
    </row>
    <row r="79" spans="1:27" x14ac:dyDescent="0.35">
      <c r="A79" s="1">
        <v>-1.25741668263055</v>
      </c>
      <c r="B79" s="1">
        <v>-2.9265311376106</v>
      </c>
      <c r="C79" s="1">
        <v>6.5171261681999998E-3</v>
      </c>
      <c r="D79" s="1">
        <v>94.206659999999999</v>
      </c>
      <c r="E79" s="1">
        <v>42.835659999999997</v>
      </c>
      <c r="F79" s="1">
        <v>0.37525999999999998</v>
      </c>
      <c r="G79" s="1">
        <v>0.54564000000000001</v>
      </c>
      <c r="H79" s="1">
        <v>0.28901305972055802</v>
      </c>
      <c r="I79" s="1">
        <v>-6.4490000000000006E-2</v>
      </c>
      <c r="J79" s="1">
        <v>1503689</v>
      </c>
      <c r="K79" s="1">
        <v>-4347349</v>
      </c>
      <c r="L79">
        <v>67412629</v>
      </c>
      <c r="M79">
        <v>-4420606</v>
      </c>
      <c r="N79">
        <v>20051894</v>
      </c>
      <c r="O79" s="1">
        <v>-5354637</v>
      </c>
      <c r="P79" s="1">
        <v>28876642</v>
      </c>
      <c r="Q79">
        <v>5220693</v>
      </c>
      <c r="R79">
        <v>9568042</v>
      </c>
      <c r="S79">
        <v>452162</v>
      </c>
      <c r="T79">
        <v>-18.499269999999999</v>
      </c>
      <c r="U79">
        <f t="shared" si="7"/>
        <v>-0.23178337478630501</v>
      </c>
      <c r="V79">
        <f t="shared" si="8"/>
        <v>-1.4987465786437946</v>
      </c>
      <c r="W79">
        <f t="shared" si="9"/>
        <v>-2.784523862732011E-2</v>
      </c>
      <c r="X79">
        <f t="shared" si="10"/>
        <v>1</v>
      </c>
      <c r="Y79">
        <f t="shared" si="11"/>
        <v>0</v>
      </c>
      <c r="Z79">
        <f t="shared" si="12"/>
        <v>1</v>
      </c>
      <c r="AA79">
        <f t="shared" si="13"/>
        <v>1</v>
      </c>
    </row>
    <row r="80" spans="1:27" x14ac:dyDescent="0.35">
      <c r="A80" s="1">
        <v>-1.22431671006731</v>
      </c>
      <c r="B80" s="1">
        <v>-2.79044001855367</v>
      </c>
      <c r="C80" s="1">
        <v>1.7593372270930999E-2</v>
      </c>
      <c r="D80" s="1">
        <v>104.48426000000001</v>
      </c>
      <c r="E80" s="1">
        <v>44.143129999999999</v>
      </c>
      <c r="F80" s="1">
        <v>1.96906</v>
      </c>
      <c r="G80" s="1">
        <v>0.50595999999999997</v>
      </c>
      <c r="H80" s="1">
        <v>0.27515805772845098</v>
      </c>
      <c r="I80" s="1">
        <v>-9.4460000000000002E-2</v>
      </c>
      <c r="J80" s="1">
        <v>5010718</v>
      </c>
      <c r="K80" s="1">
        <v>-6241254</v>
      </c>
      <c r="L80">
        <v>66073093</v>
      </c>
      <c r="M80">
        <v>-1080376</v>
      </c>
      <c r="N80">
        <v>18364836</v>
      </c>
      <c r="O80" s="1">
        <v>-1270748</v>
      </c>
      <c r="P80" s="1">
        <v>29166731</v>
      </c>
      <c r="Q80">
        <v>6391894</v>
      </c>
      <c r="R80">
        <v>12633148</v>
      </c>
      <c r="S80">
        <v>1174232</v>
      </c>
      <c r="T80">
        <v>-18.86121</v>
      </c>
      <c r="U80">
        <f t="shared" si="7"/>
        <v>1.200179256239739E-2</v>
      </c>
      <c r="V80">
        <f t="shared" si="8"/>
        <v>-1.6952717088386808</v>
      </c>
      <c r="W80">
        <f t="shared" si="9"/>
        <v>-3.8671551807026805E-2</v>
      </c>
      <c r="X80">
        <f t="shared" si="10"/>
        <v>1</v>
      </c>
      <c r="Y80">
        <f t="shared" si="11"/>
        <v>0</v>
      </c>
      <c r="Z80">
        <f t="shared" si="12"/>
        <v>1</v>
      </c>
      <c r="AA80">
        <f t="shared" si="13"/>
        <v>1</v>
      </c>
    </row>
    <row r="81" spans="1:27" x14ac:dyDescent="0.35">
      <c r="A81" s="1">
        <v>8.6441465531961494</v>
      </c>
      <c r="B81" s="1">
        <v>19.655876043478901</v>
      </c>
      <c r="C81" s="1">
        <v>2.2820192535688E-2</v>
      </c>
      <c r="D81" s="1">
        <v>89.249549999999999</v>
      </c>
      <c r="E81" s="1">
        <v>40.699249999999999</v>
      </c>
      <c r="F81" s="1">
        <v>3.51172</v>
      </c>
      <c r="G81" s="1">
        <v>1.32578</v>
      </c>
      <c r="H81" s="1">
        <v>0.288363831250386</v>
      </c>
      <c r="I81" s="1">
        <v>4.9610000000000001E-2</v>
      </c>
      <c r="J81" s="1">
        <v>4146813</v>
      </c>
      <c r="K81" s="1">
        <v>3489023</v>
      </c>
      <c r="L81">
        <v>70328736</v>
      </c>
      <c r="M81">
        <v>1557334</v>
      </c>
      <c r="N81">
        <v>19666677</v>
      </c>
      <c r="O81" s="1">
        <v>1329576</v>
      </c>
      <c r="P81" s="1">
        <v>28623268</v>
      </c>
      <c r="Q81">
        <v>14198826</v>
      </c>
      <c r="R81">
        <v>10709803</v>
      </c>
      <c r="S81">
        <v>1556358</v>
      </c>
      <c r="T81">
        <v>-17.620729999999998</v>
      </c>
      <c r="U81">
        <f t="shared" si="7"/>
        <v>0.32686451128448979</v>
      </c>
      <c r="V81">
        <f t="shared" si="8"/>
        <v>-2.0599128627896466</v>
      </c>
      <c r="W81">
        <f t="shared" si="9"/>
        <v>0.2144890212444597</v>
      </c>
      <c r="X81">
        <f t="shared" si="10"/>
        <v>1</v>
      </c>
      <c r="Y81">
        <f t="shared" si="11"/>
        <v>0</v>
      </c>
      <c r="Z81">
        <f t="shared" si="12"/>
        <v>0</v>
      </c>
      <c r="AA81">
        <f t="shared" si="13"/>
        <v>0</v>
      </c>
    </row>
    <row r="82" spans="1:27" x14ac:dyDescent="0.35">
      <c r="A82" s="1">
        <v>12.8270445976195</v>
      </c>
      <c r="B82" s="1">
        <v>26.363967132389401</v>
      </c>
      <c r="C82" s="1">
        <v>5.7211448674174999E-2</v>
      </c>
      <c r="D82" s="1">
        <v>66.984430000000003</v>
      </c>
      <c r="E82" s="1">
        <v>34.440420000000003</v>
      </c>
      <c r="F82" s="1">
        <v>5.2732200000000002</v>
      </c>
      <c r="G82" s="1">
        <v>0.97894000000000003</v>
      </c>
      <c r="H82" s="1">
        <v>0.35397900285078199</v>
      </c>
      <c r="I82" s="1">
        <v>-3.1700000000000001E-3</v>
      </c>
      <c r="J82" s="1">
        <v>3960091</v>
      </c>
      <c r="K82" s="1">
        <v>-246011</v>
      </c>
      <c r="L82">
        <v>77718695</v>
      </c>
      <c r="M82">
        <v>9792309</v>
      </c>
      <c r="N82">
        <v>26202841</v>
      </c>
      <c r="O82" s="1">
        <v>9495055</v>
      </c>
      <c r="P82" s="1">
        <v>26766642</v>
      </c>
      <c r="Q82">
        <v>11436078</v>
      </c>
      <c r="R82">
        <v>11682089</v>
      </c>
      <c r="S82">
        <v>4235004</v>
      </c>
      <c r="T82">
        <v>-15.813330000000001</v>
      </c>
      <c r="U82">
        <f t="shared" si="7"/>
        <v>0.85212186533970713</v>
      </c>
      <c r="V82">
        <f t="shared" si="8"/>
        <v>-2.8827548954055704</v>
      </c>
      <c r="W82">
        <f t="shared" si="9"/>
        <v>0.23922071724184252</v>
      </c>
      <c r="X82">
        <f t="shared" si="10"/>
        <v>1</v>
      </c>
      <c r="Y82">
        <f t="shared" si="11"/>
        <v>0</v>
      </c>
      <c r="Z82">
        <f t="shared" si="12"/>
        <v>0</v>
      </c>
      <c r="AA82">
        <f t="shared" si="13"/>
        <v>0</v>
      </c>
    </row>
    <row r="83" spans="1:27" x14ac:dyDescent="0.35">
      <c r="A83" s="1">
        <v>16.917705817125</v>
      </c>
      <c r="B83" s="1">
        <v>31.747993729053</v>
      </c>
      <c r="C83" s="1">
        <v>0.123120856760545</v>
      </c>
      <c r="D83" s="1">
        <v>70.391260000000003</v>
      </c>
      <c r="E83" s="1">
        <v>38.487580000000001</v>
      </c>
      <c r="F83" s="1">
        <v>9.5388199999999994</v>
      </c>
      <c r="G83" s="1">
        <v>1.6323399999999999</v>
      </c>
      <c r="H83" s="1">
        <v>0.42629296257074201</v>
      </c>
      <c r="I83" s="1">
        <v>7.3550000000000004E-2</v>
      </c>
      <c r="J83" s="1">
        <v>21604099</v>
      </c>
      <c r="K83" s="1">
        <v>7703000</v>
      </c>
      <c r="L83">
        <v>104727615</v>
      </c>
      <c r="M83">
        <v>15962180</v>
      </c>
      <c r="N83">
        <v>38887789</v>
      </c>
      <c r="O83" s="1">
        <v>15432865</v>
      </c>
      <c r="P83" s="1">
        <v>40307121</v>
      </c>
      <c r="Q83">
        <v>19884722</v>
      </c>
      <c r="R83">
        <v>12181722</v>
      </c>
      <c r="S83">
        <v>11231473</v>
      </c>
      <c r="T83">
        <v>-11.57978</v>
      </c>
      <c r="U83">
        <f t="shared" si="7"/>
        <v>1.4183529780628705</v>
      </c>
      <c r="V83">
        <f t="shared" si="8"/>
        <v>-2.7628075236786036</v>
      </c>
      <c r="W83">
        <f t="shared" si="9"/>
        <v>0.54578044183475383</v>
      </c>
      <c r="X83">
        <f t="shared" si="10"/>
        <v>0</v>
      </c>
      <c r="Y83">
        <f t="shared" si="11"/>
        <v>0</v>
      </c>
      <c r="Z83">
        <f t="shared" si="12"/>
        <v>0</v>
      </c>
      <c r="AA83">
        <f t="shared" si="13"/>
        <v>0</v>
      </c>
    </row>
    <row r="84" spans="1:27" x14ac:dyDescent="0.35">
      <c r="A84" s="1">
        <v>2.7850049374516499</v>
      </c>
      <c r="B84" s="1">
        <v>5.8233012913927</v>
      </c>
      <c r="C84" s="1">
        <v>6.3534253844426999E-2</v>
      </c>
      <c r="D84" s="1">
        <v>117.87009999999999</v>
      </c>
      <c r="E84" s="1">
        <v>50.774720000000002</v>
      </c>
      <c r="F84" s="1">
        <v>3.75305</v>
      </c>
      <c r="G84" s="1">
        <v>0.92479999999999996</v>
      </c>
      <c r="H84" s="1">
        <v>0.31785127201137198</v>
      </c>
      <c r="I84" s="1">
        <v>-1.0749999999999999E-2</v>
      </c>
      <c r="J84" s="1">
        <v>19865601</v>
      </c>
      <c r="K84" s="1">
        <v>-1625043</v>
      </c>
      <c r="L84">
        <v>151112865</v>
      </c>
      <c r="M84">
        <v>4054695</v>
      </c>
      <c r="N84">
        <v>40659611</v>
      </c>
      <c r="O84" s="1">
        <v>3562585</v>
      </c>
      <c r="P84" s="1">
        <v>76727137</v>
      </c>
      <c r="Q84">
        <v>19985472</v>
      </c>
      <c r="R84">
        <v>21610515</v>
      </c>
      <c r="S84">
        <v>8127317</v>
      </c>
      <c r="T84">
        <v>-7.9889700000000001</v>
      </c>
      <c r="U84">
        <f t="shared" si="7"/>
        <v>0.38549794721544811</v>
      </c>
      <c r="V84">
        <f t="shared" si="8"/>
        <v>-1.5082320919229679</v>
      </c>
      <c r="W84">
        <f t="shared" si="9"/>
        <v>0.22271102320110203</v>
      </c>
      <c r="X84">
        <f t="shared" si="10"/>
        <v>1</v>
      </c>
      <c r="Y84">
        <f t="shared" si="11"/>
        <v>0</v>
      </c>
      <c r="Z84">
        <f t="shared" si="12"/>
        <v>0</v>
      </c>
      <c r="AA84">
        <f t="shared" si="13"/>
        <v>0</v>
      </c>
    </row>
    <row r="85" spans="1:27" x14ac:dyDescent="0.35">
      <c r="A85" s="1" t="s">
        <v>3</v>
      </c>
      <c r="B85" s="1" t="s">
        <v>3</v>
      </c>
      <c r="C85" s="1" t="s">
        <v>3</v>
      </c>
      <c r="D85" s="1" t="s">
        <v>3</v>
      </c>
      <c r="E85" s="1" t="s">
        <v>3</v>
      </c>
      <c r="F85" s="1" t="s">
        <v>3</v>
      </c>
      <c r="G85" s="1" t="s">
        <v>3</v>
      </c>
      <c r="H85" s="1" t="s">
        <v>3</v>
      </c>
      <c r="I85" s="1" t="s">
        <v>3</v>
      </c>
      <c r="J85" s="1" t="s">
        <v>3</v>
      </c>
      <c r="K85" s="1" t="s">
        <v>3</v>
      </c>
      <c r="L85" s="1" t="s">
        <v>3</v>
      </c>
      <c r="M85" s="1" t="s">
        <v>3</v>
      </c>
      <c r="N85" s="1" t="s">
        <v>3</v>
      </c>
      <c r="O85" s="1" t="s">
        <v>3</v>
      </c>
      <c r="P85" s="1" t="s">
        <v>3</v>
      </c>
      <c r="Q85" s="1" t="s">
        <v>3</v>
      </c>
      <c r="R85" s="1" t="s">
        <v>3</v>
      </c>
      <c r="S85" s="1" t="s">
        <v>3</v>
      </c>
      <c r="T85" s="1" t="s">
        <v>3</v>
      </c>
      <c r="U85" t="e">
        <f t="shared" si="7"/>
        <v>#VALUE!</v>
      </c>
      <c r="V85" t="e">
        <f t="shared" si="8"/>
        <v>#VALUE!</v>
      </c>
      <c r="W85" t="e">
        <f t="shared" si="9"/>
        <v>#VALUE!</v>
      </c>
      <c r="X85" t="e">
        <f t="shared" si="10"/>
        <v>#VALUE!</v>
      </c>
      <c r="Y85" t="e">
        <f t="shared" si="11"/>
        <v>#VALUE!</v>
      </c>
      <c r="Z85" t="e">
        <f t="shared" si="12"/>
        <v>#VALUE!</v>
      </c>
      <c r="AA85" t="e">
        <f t="shared" si="13"/>
        <v>#VALUE!</v>
      </c>
    </row>
    <row r="86" spans="1:27" x14ac:dyDescent="0.35">
      <c r="A86" s="1" t="s">
        <v>3</v>
      </c>
      <c r="B86" s="1" t="s">
        <v>3</v>
      </c>
      <c r="C86" s="1" t="s">
        <v>3</v>
      </c>
      <c r="D86" s="1" t="s">
        <v>3</v>
      </c>
      <c r="E86" s="1" t="s">
        <v>3</v>
      </c>
      <c r="F86" s="1" t="s">
        <v>3</v>
      </c>
      <c r="G86" s="1" t="s">
        <v>3</v>
      </c>
      <c r="H86" s="1" t="s">
        <v>3</v>
      </c>
      <c r="I86" s="1" t="s">
        <v>3</v>
      </c>
      <c r="J86" s="1" t="s">
        <v>3</v>
      </c>
      <c r="K86" s="1" t="s">
        <v>3</v>
      </c>
      <c r="L86" s="1" t="s">
        <v>3</v>
      </c>
      <c r="M86" s="1" t="s">
        <v>3</v>
      </c>
      <c r="N86" s="1" t="s">
        <v>3</v>
      </c>
      <c r="O86" s="1" t="s">
        <v>3</v>
      </c>
      <c r="P86" s="1" t="s">
        <v>3</v>
      </c>
      <c r="Q86" s="1" t="s">
        <v>3</v>
      </c>
      <c r="R86" s="1" t="s">
        <v>3</v>
      </c>
      <c r="S86" s="1" t="s">
        <v>3</v>
      </c>
      <c r="T86" s="1" t="s">
        <v>3</v>
      </c>
      <c r="U86" t="e">
        <f t="shared" si="7"/>
        <v>#VALUE!</v>
      </c>
      <c r="V86" t="e">
        <f t="shared" si="8"/>
        <v>#VALUE!</v>
      </c>
      <c r="W86" t="e">
        <f t="shared" si="9"/>
        <v>#VALUE!</v>
      </c>
      <c r="X86" t="e">
        <f t="shared" si="10"/>
        <v>#VALUE!</v>
      </c>
      <c r="Y86" t="e">
        <f t="shared" si="11"/>
        <v>#VALUE!</v>
      </c>
      <c r="Z86" t="e">
        <f t="shared" si="12"/>
        <v>#VALUE!</v>
      </c>
      <c r="AA86" t="e">
        <f t="shared" si="13"/>
        <v>#VALUE!</v>
      </c>
    </row>
    <row r="87" spans="1:27" x14ac:dyDescent="0.35">
      <c r="A87" s="1" t="s">
        <v>3</v>
      </c>
      <c r="B87" s="1" t="s">
        <v>3</v>
      </c>
      <c r="C87" s="1" t="s">
        <v>3</v>
      </c>
      <c r="D87" s="1" t="s">
        <v>3</v>
      </c>
      <c r="E87" s="1" t="s">
        <v>3</v>
      </c>
      <c r="F87" s="1" t="s">
        <v>3</v>
      </c>
      <c r="G87" s="1" t="s">
        <v>3</v>
      </c>
      <c r="H87" s="1" t="s">
        <v>3</v>
      </c>
      <c r="I87" s="1" t="s">
        <v>3</v>
      </c>
      <c r="J87" s="1" t="s">
        <v>3</v>
      </c>
      <c r="K87" s="1" t="s">
        <v>3</v>
      </c>
      <c r="L87" s="1" t="s">
        <v>3</v>
      </c>
      <c r="M87" s="1" t="s">
        <v>3</v>
      </c>
      <c r="N87" s="1" t="s">
        <v>3</v>
      </c>
      <c r="O87" s="1" t="s">
        <v>3</v>
      </c>
      <c r="P87" s="1" t="s">
        <v>3</v>
      </c>
      <c r="Q87" s="1" t="s">
        <v>3</v>
      </c>
      <c r="R87" s="1" t="s">
        <v>3</v>
      </c>
      <c r="S87" s="1" t="s">
        <v>3</v>
      </c>
      <c r="T87" s="1" t="s">
        <v>3</v>
      </c>
      <c r="U87" t="e">
        <f t="shared" si="7"/>
        <v>#VALUE!</v>
      </c>
      <c r="V87" t="e">
        <f t="shared" si="8"/>
        <v>#VALUE!</v>
      </c>
      <c r="W87" t="e">
        <f t="shared" si="9"/>
        <v>#VALUE!</v>
      </c>
      <c r="X87" t="e">
        <f t="shared" si="10"/>
        <v>#VALUE!</v>
      </c>
      <c r="Y87" t="e">
        <f t="shared" si="11"/>
        <v>#VALUE!</v>
      </c>
      <c r="Z87" t="e">
        <f t="shared" si="12"/>
        <v>#VALUE!</v>
      </c>
      <c r="AA87" t="e">
        <f t="shared" si="13"/>
        <v>#VALUE!</v>
      </c>
    </row>
    <row r="88" spans="1:27" x14ac:dyDescent="0.35">
      <c r="A88" s="1" t="s">
        <v>3</v>
      </c>
      <c r="B88" s="1" t="s">
        <v>3</v>
      </c>
      <c r="C88" s="1" t="s">
        <v>3</v>
      </c>
      <c r="D88" s="1" t="s">
        <v>3</v>
      </c>
      <c r="E88" s="1" t="s">
        <v>3</v>
      </c>
      <c r="F88" s="1" t="s">
        <v>3</v>
      </c>
      <c r="G88" s="1" t="s">
        <v>3</v>
      </c>
      <c r="H88" s="1" t="s">
        <v>3</v>
      </c>
      <c r="I88" s="1" t="s">
        <v>3</v>
      </c>
      <c r="J88" s="1" t="s">
        <v>3</v>
      </c>
      <c r="K88" s="1" t="s">
        <v>3</v>
      </c>
      <c r="L88" s="1" t="s">
        <v>3</v>
      </c>
      <c r="M88" s="1" t="s">
        <v>3</v>
      </c>
      <c r="N88" s="1" t="s">
        <v>3</v>
      </c>
      <c r="O88" s="1" t="s">
        <v>3</v>
      </c>
      <c r="P88" s="1" t="s">
        <v>3</v>
      </c>
      <c r="Q88" s="1" t="s">
        <v>3</v>
      </c>
      <c r="R88" s="1" t="s">
        <v>3</v>
      </c>
      <c r="S88" s="1" t="s">
        <v>3</v>
      </c>
      <c r="T88" s="1" t="s">
        <v>3</v>
      </c>
      <c r="U88" t="e">
        <f t="shared" si="7"/>
        <v>#VALUE!</v>
      </c>
      <c r="V88" t="e">
        <f t="shared" si="8"/>
        <v>#VALUE!</v>
      </c>
      <c r="W88" t="e">
        <f t="shared" si="9"/>
        <v>#VALUE!</v>
      </c>
      <c r="X88" t="e">
        <f t="shared" si="10"/>
        <v>#VALUE!</v>
      </c>
      <c r="Y88" t="e">
        <f t="shared" si="11"/>
        <v>#VALUE!</v>
      </c>
      <c r="Z88" t="e">
        <f t="shared" si="12"/>
        <v>#VALUE!</v>
      </c>
      <c r="AA88" t="e">
        <f t="shared" si="13"/>
        <v>#VALUE!</v>
      </c>
    </row>
    <row r="89" spans="1:27" x14ac:dyDescent="0.35">
      <c r="A89" s="1" t="s">
        <v>3</v>
      </c>
      <c r="B89" s="1" t="s">
        <v>3</v>
      </c>
      <c r="C89" s="1" t="s">
        <v>3</v>
      </c>
      <c r="D89" s="1" t="s">
        <v>3</v>
      </c>
      <c r="E89" s="1" t="s">
        <v>3</v>
      </c>
      <c r="F89" s="1" t="s">
        <v>3</v>
      </c>
      <c r="G89" s="1" t="s">
        <v>3</v>
      </c>
      <c r="H89" s="1" t="s">
        <v>3</v>
      </c>
      <c r="I89" s="1" t="s">
        <v>3</v>
      </c>
      <c r="J89" s="1" t="s">
        <v>3</v>
      </c>
      <c r="K89" s="1" t="s">
        <v>3</v>
      </c>
      <c r="L89" s="1" t="s">
        <v>3</v>
      </c>
      <c r="M89" s="1" t="s">
        <v>3</v>
      </c>
      <c r="N89" s="1" t="s">
        <v>3</v>
      </c>
      <c r="O89" s="1" t="s">
        <v>3</v>
      </c>
      <c r="P89" s="1" t="s">
        <v>3</v>
      </c>
      <c r="Q89" s="1" t="s">
        <v>3</v>
      </c>
      <c r="R89" s="1" t="s">
        <v>3</v>
      </c>
      <c r="S89" s="1" t="s">
        <v>3</v>
      </c>
      <c r="T89" s="1" t="s">
        <v>3</v>
      </c>
      <c r="U89" t="e">
        <f t="shared" si="7"/>
        <v>#VALUE!</v>
      </c>
      <c r="V89" t="e">
        <f t="shared" si="8"/>
        <v>#VALUE!</v>
      </c>
      <c r="W89" t="e">
        <f t="shared" si="9"/>
        <v>#VALUE!</v>
      </c>
      <c r="X89" t="e">
        <f t="shared" si="10"/>
        <v>#VALUE!</v>
      </c>
      <c r="Y89" t="e">
        <f t="shared" si="11"/>
        <v>#VALUE!</v>
      </c>
      <c r="Z89" t="e">
        <f t="shared" si="12"/>
        <v>#VALUE!</v>
      </c>
      <c r="AA89" t="e">
        <f t="shared" si="13"/>
        <v>#VALUE!</v>
      </c>
    </row>
    <row r="90" spans="1:27" x14ac:dyDescent="0.35">
      <c r="A90" s="1" t="s">
        <v>3</v>
      </c>
      <c r="B90" s="1" t="s">
        <v>3</v>
      </c>
      <c r="C90" s="1" t="s">
        <v>3</v>
      </c>
      <c r="D90" s="1" t="s">
        <v>3</v>
      </c>
      <c r="E90" s="1" t="s">
        <v>3</v>
      </c>
      <c r="F90" s="1" t="s">
        <v>3</v>
      </c>
      <c r="G90" s="1" t="s">
        <v>3</v>
      </c>
      <c r="H90" s="1" t="s">
        <v>3</v>
      </c>
      <c r="I90" s="1" t="s">
        <v>3</v>
      </c>
      <c r="J90" s="1" t="s">
        <v>3</v>
      </c>
      <c r="K90" s="1" t="s">
        <v>3</v>
      </c>
      <c r="L90" s="1" t="s">
        <v>3</v>
      </c>
      <c r="M90" s="1" t="s">
        <v>3</v>
      </c>
      <c r="N90" s="1" t="s">
        <v>3</v>
      </c>
      <c r="O90" s="1" t="s">
        <v>3</v>
      </c>
      <c r="P90" s="1" t="s">
        <v>3</v>
      </c>
      <c r="Q90" s="1" t="s">
        <v>3</v>
      </c>
      <c r="R90" s="1" t="s">
        <v>3</v>
      </c>
      <c r="S90" s="1" t="s">
        <v>3</v>
      </c>
      <c r="T90" s="1" t="s">
        <v>3</v>
      </c>
      <c r="U90" t="e">
        <f t="shared" si="7"/>
        <v>#VALUE!</v>
      </c>
      <c r="V90" t="e">
        <f t="shared" si="8"/>
        <v>#VALUE!</v>
      </c>
      <c r="W90" t="e">
        <f t="shared" si="9"/>
        <v>#VALUE!</v>
      </c>
      <c r="X90" t="e">
        <f t="shared" si="10"/>
        <v>#VALUE!</v>
      </c>
      <c r="Y90" t="e">
        <f t="shared" si="11"/>
        <v>#VALUE!</v>
      </c>
      <c r="Z90" t="e">
        <f t="shared" si="12"/>
        <v>#VALUE!</v>
      </c>
      <c r="AA90" t="e">
        <f t="shared" si="13"/>
        <v>#VALUE!</v>
      </c>
    </row>
    <row r="91" spans="1:27" x14ac:dyDescent="0.35">
      <c r="A91" s="1" t="s">
        <v>3</v>
      </c>
      <c r="B91" s="1" t="s">
        <v>3</v>
      </c>
      <c r="C91" s="1" t="s">
        <v>3</v>
      </c>
      <c r="D91" s="1" t="s">
        <v>3</v>
      </c>
      <c r="E91" s="1" t="s">
        <v>3</v>
      </c>
      <c r="F91" s="1" t="s">
        <v>3</v>
      </c>
      <c r="G91" s="1" t="s">
        <v>3</v>
      </c>
      <c r="H91" s="1" t="s">
        <v>3</v>
      </c>
      <c r="I91" s="1" t="s">
        <v>3</v>
      </c>
      <c r="J91" s="1" t="s">
        <v>3</v>
      </c>
      <c r="K91" s="1" t="s">
        <v>3</v>
      </c>
      <c r="L91" s="1" t="s">
        <v>3</v>
      </c>
      <c r="M91" s="1" t="s">
        <v>3</v>
      </c>
      <c r="N91" s="1" t="s">
        <v>3</v>
      </c>
      <c r="O91" s="1" t="s">
        <v>3</v>
      </c>
      <c r="P91" s="1" t="s">
        <v>3</v>
      </c>
      <c r="Q91" s="1" t="s">
        <v>3</v>
      </c>
      <c r="R91" s="1" t="s">
        <v>3</v>
      </c>
      <c r="S91" s="1" t="s">
        <v>3</v>
      </c>
      <c r="T91" s="1" t="s">
        <v>3</v>
      </c>
      <c r="U91" t="e">
        <f t="shared" si="7"/>
        <v>#VALUE!</v>
      </c>
      <c r="V91" t="e">
        <f t="shared" si="8"/>
        <v>#VALUE!</v>
      </c>
      <c r="W91" t="e">
        <f t="shared" si="9"/>
        <v>#VALUE!</v>
      </c>
      <c r="X91" t="e">
        <f t="shared" si="10"/>
        <v>#VALUE!</v>
      </c>
      <c r="Y91" t="e">
        <f t="shared" si="11"/>
        <v>#VALUE!</v>
      </c>
      <c r="Z91" t="e">
        <f t="shared" si="12"/>
        <v>#VALUE!</v>
      </c>
      <c r="AA91" t="e">
        <f t="shared" si="13"/>
        <v>#VALUE!</v>
      </c>
    </row>
    <row r="92" spans="1:27" x14ac:dyDescent="0.35">
      <c r="A92" s="1" t="s">
        <v>3</v>
      </c>
      <c r="B92" s="1" t="s">
        <v>3</v>
      </c>
      <c r="C92" s="1" t="s">
        <v>3</v>
      </c>
      <c r="D92" s="1" t="s">
        <v>3</v>
      </c>
      <c r="E92" s="1" t="s">
        <v>3</v>
      </c>
      <c r="F92" s="1" t="s">
        <v>3</v>
      </c>
      <c r="G92" s="1" t="s">
        <v>3</v>
      </c>
      <c r="H92" s="1" t="s">
        <v>3</v>
      </c>
      <c r="I92" s="1" t="s">
        <v>3</v>
      </c>
      <c r="J92" s="1" t="s">
        <v>3</v>
      </c>
      <c r="K92" s="1" t="s">
        <v>3</v>
      </c>
      <c r="L92" s="1" t="s">
        <v>3</v>
      </c>
      <c r="M92" s="1" t="s">
        <v>3</v>
      </c>
      <c r="N92" s="1" t="s">
        <v>3</v>
      </c>
      <c r="O92" s="1" t="s">
        <v>3</v>
      </c>
      <c r="P92" s="1" t="s">
        <v>3</v>
      </c>
      <c r="Q92" s="1" t="s">
        <v>3</v>
      </c>
      <c r="R92" s="1" t="s">
        <v>3</v>
      </c>
      <c r="S92" s="1" t="s">
        <v>3</v>
      </c>
      <c r="T92" s="1" t="s">
        <v>3</v>
      </c>
      <c r="U92" t="e">
        <f t="shared" si="7"/>
        <v>#VALUE!</v>
      </c>
      <c r="V92" t="e">
        <f t="shared" si="8"/>
        <v>#VALUE!</v>
      </c>
      <c r="W92" t="e">
        <f t="shared" si="9"/>
        <v>#VALUE!</v>
      </c>
      <c r="X92" t="e">
        <f t="shared" si="10"/>
        <v>#VALUE!</v>
      </c>
      <c r="Y92" t="e">
        <f t="shared" si="11"/>
        <v>#VALUE!</v>
      </c>
      <c r="Z92" t="e">
        <f t="shared" si="12"/>
        <v>#VALUE!</v>
      </c>
      <c r="AA92" t="e">
        <f t="shared" si="13"/>
        <v>#VALUE!</v>
      </c>
    </row>
    <row r="93" spans="1:27" x14ac:dyDescent="0.35">
      <c r="A93" s="1" t="s">
        <v>3</v>
      </c>
      <c r="B93" s="1" t="s">
        <v>3</v>
      </c>
      <c r="C93" s="1" t="s">
        <v>3</v>
      </c>
      <c r="D93" s="1" t="s">
        <v>3</v>
      </c>
      <c r="E93" s="1" t="s">
        <v>3</v>
      </c>
      <c r="F93" s="1" t="s">
        <v>3</v>
      </c>
      <c r="G93" s="1" t="s">
        <v>3</v>
      </c>
      <c r="H93" s="1" t="s">
        <v>3</v>
      </c>
      <c r="I93" s="1" t="s">
        <v>3</v>
      </c>
      <c r="J93" s="1" t="s">
        <v>3</v>
      </c>
      <c r="K93" s="1" t="s">
        <v>3</v>
      </c>
      <c r="L93" s="1" t="s">
        <v>3</v>
      </c>
      <c r="M93" s="1" t="s">
        <v>3</v>
      </c>
      <c r="N93" s="1" t="s">
        <v>3</v>
      </c>
      <c r="O93" s="1" t="s">
        <v>3</v>
      </c>
      <c r="P93" s="1" t="s">
        <v>3</v>
      </c>
      <c r="Q93" s="1" t="s">
        <v>3</v>
      </c>
      <c r="R93" s="1" t="s">
        <v>3</v>
      </c>
      <c r="S93" s="1" t="s">
        <v>3</v>
      </c>
      <c r="T93" s="1" t="s">
        <v>3</v>
      </c>
      <c r="U93" t="e">
        <f t="shared" si="7"/>
        <v>#VALUE!</v>
      </c>
      <c r="V93" t="e">
        <f t="shared" si="8"/>
        <v>#VALUE!</v>
      </c>
      <c r="W93" t="e">
        <f t="shared" si="9"/>
        <v>#VALUE!</v>
      </c>
      <c r="X93" t="e">
        <f t="shared" si="10"/>
        <v>#VALUE!</v>
      </c>
      <c r="Y93" t="e">
        <f t="shared" si="11"/>
        <v>#VALUE!</v>
      </c>
      <c r="Z93" t="e">
        <f t="shared" si="12"/>
        <v>#VALUE!</v>
      </c>
      <c r="AA93" t="e">
        <f t="shared" si="13"/>
        <v>#VALUE!</v>
      </c>
    </row>
    <row r="94" spans="1:27" x14ac:dyDescent="0.35">
      <c r="A94" s="1" t="s">
        <v>3</v>
      </c>
      <c r="B94" s="1" t="s">
        <v>3</v>
      </c>
      <c r="C94" s="1" t="s">
        <v>3</v>
      </c>
      <c r="D94" s="1" t="s">
        <v>3</v>
      </c>
      <c r="E94" s="1" t="s">
        <v>3</v>
      </c>
      <c r="F94" s="1" t="s">
        <v>3</v>
      </c>
      <c r="G94" s="1" t="s">
        <v>3</v>
      </c>
      <c r="H94" s="1" t="s">
        <v>3</v>
      </c>
      <c r="I94" s="1" t="s">
        <v>3</v>
      </c>
      <c r="J94" s="1" t="s">
        <v>3</v>
      </c>
      <c r="K94" s="1" t="s">
        <v>3</v>
      </c>
      <c r="L94" s="1" t="s">
        <v>3</v>
      </c>
      <c r="M94" s="1" t="s">
        <v>3</v>
      </c>
      <c r="N94" s="1" t="s">
        <v>3</v>
      </c>
      <c r="O94" s="1" t="s">
        <v>3</v>
      </c>
      <c r="P94" s="1" t="s">
        <v>3</v>
      </c>
      <c r="Q94" s="1" t="s">
        <v>3</v>
      </c>
      <c r="R94" s="1" t="s">
        <v>3</v>
      </c>
      <c r="S94" s="1" t="s">
        <v>3</v>
      </c>
      <c r="T94" s="1" t="s">
        <v>3</v>
      </c>
      <c r="U94" t="e">
        <f t="shared" si="7"/>
        <v>#VALUE!</v>
      </c>
      <c r="V94" t="e">
        <f t="shared" si="8"/>
        <v>#VALUE!</v>
      </c>
      <c r="W94" t="e">
        <f t="shared" si="9"/>
        <v>#VALUE!</v>
      </c>
      <c r="X94" t="e">
        <f t="shared" si="10"/>
        <v>#VALUE!</v>
      </c>
      <c r="Y94" t="e">
        <f t="shared" si="11"/>
        <v>#VALUE!</v>
      </c>
      <c r="Z94" t="e">
        <f t="shared" si="12"/>
        <v>#VALUE!</v>
      </c>
      <c r="AA94" t="e">
        <f t="shared" si="13"/>
        <v>#VALUE!</v>
      </c>
    </row>
    <row r="95" spans="1:27" x14ac:dyDescent="0.35">
      <c r="A95" s="1" t="s">
        <v>3</v>
      </c>
      <c r="B95" s="1" t="s">
        <v>3</v>
      </c>
      <c r="C95" s="1" t="s">
        <v>3</v>
      </c>
      <c r="D95" s="1" t="s">
        <v>3</v>
      </c>
      <c r="E95" s="1" t="s">
        <v>3</v>
      </c>
      <c r="F95" s="1" t="s">
        <v>3</v>
      </c>
      <c r="G95" s="1" t="s">
        <v>3</v>
      </c>
      <c r="H95" s="1" t="s">
        <v>3</v>
      </c>
      <c r="I95" s="1" t="s">
        <v>3</v>
      </c>
      <c r="J95" s="1" t="s">
        <v>3</v>
      </c>
      <c r="K95" s="1" t="s">
        <v>3</v>
      </c>
      <c r="L95" s="1" t="s">
        <v>3</v>
      </c>
      <c r="M95" s="1" t="s">
        <v>3</v>
      </c>
      <c r="N95" s="1" t="s">
        <v>3</v>
      </c>
      <c r="O95" s="1" t="s">
        <v>3</v>
      </c>
      <c r="P95" s="1" t="s">
        <v>3</v>
      </c>
      <c r="Q95" s="1" t="s">
        <v>3</v>
      </c>
      <c r="R95" s="1" t="s">
        <v>3</v>
      </c>
      <c r="S95" s="1" t="s">
        <v>3</v>
      </c>
      <c r="T95" s="1" t="s">
        <v>3</v>
      </c>
      <c r="U95" t="e">
        <f t="shared" si="7"/>
        <v>#VALUE!</v>
      </c>
      <c r="V95" t="e">
        <f t="shared" si="8"/>
        <v>#VALUE!</v>
      </c>
      <c r="W95" t="e">
        <f t="shared" si="9"/>
        <v>#VALUE!</v>
      </c>
      <c r="X95" t="e">
        <f t="shared" si="10"/>
        <v>#VALUE!</v>
      </c>
      <c r="Y95" t="e">
        <f t="shared" si="11"/>
        <v>#VALUE!</v>
      </c>
      <c r="Z95" t="e">
        <f t="shared" si="12"/>
        <v>#VALUE!</v>
      </c>
      <c r="AA95" t="e">
        <f t="shared" si="13"/>
        <v>#VALUE!</v>
      </c>
    </row>
    <row r="96" spans="1:27" x14ac:dyDescent="0.35">
      <c r="A96" s="1" t="s">
        <v>3</v>
      </c>
      <c r="B96" s="1" t="s">
        <v>3</v>
      </c>
      <c r="C96" s="1" t="s">
        <v>3</v>
      </c>
      <c r="D96" s="1" t="s">
        <v>3</v>
      </c>
      <c r="E96" s="1" t="s">
        <v>3</v>
      </c>
      <c r="F96" s="1" t="s">
        <v>3</v>
      </c>
      <c r="G96" s="1" t="s">
        <v>3</v>
      </c>
      <c r="H96" s="1" t="s">
        <v>3</v>
      </c>
      <c r="I96" s="1" t="s">
        <v>3</v>
      </c>
      <c r="J96" s="1" t="s">
        <v>3</v>
      </c>
      <c r="K96" s="1" t="s">
        <v>3</v>
      </c>
      <c r="L96" s="1" t="s">
        <v>3</v>
      </c>
      <c r="M96" s="1" t="s">
        <v>3</v>
      </c>
      <c r="N96" s="1" t="s">
        <v>3</v>
      </c>
      <c r="O96" s="1" t="s">
        <v>3</v>
      </c>
      <c r="P96" s="1" t="s">
        <v>3</v>
      </c>
      <c r="Q96" s="1" t="s">
        <v>3</v>
      </c>
      <c r="R96" s="1" t="s">
        <v>3</v>
      </c>
      <c r="S96" s="1" t="s">
        <v>3</v>
      </c>
      <c r="T96" s="1" t="s">
        <v>3</v>
      </c>
      <c r="U96" t="e">
        <f t="shared" si="7"/>
        <v>#VALUE!</v>
      </c>
      <c r="V96" t="e">
        <f t="shared" si="8"/>
        <v>#VALUE!</v>
      </c>
      <c r="W96" t="e">
        <f t="shared" si="9"/>
        <v>#VALUE!</v>
      </c>
      <c r="X96" t="e">
        <f t="shared" si="10"/>
        <v>#VALUE!</v>
      </c>
      <c r="Y96" t="e">
        <f t="shared" si="11"/>
        <v>#VALUE!</v>
      </c>
      <c r="Z96" t="e">
        <f t="shared" si="12"/>
        <v>#VALUE!</v>
      </c>
      <c r="AA96" t="e">
        <f t="shared" si="13"/>
        <v>#VALUE!</v>
      </c>
    </row>
    <row r="97" spans="1:27" x14ac:dyDescent="0.35">
      <c r="A97" s="1" t="s">
        <v>3</v>
      </c>
      <c r="B97" s="1" t="s">
        <v>3</v>
      </c>
      <c r="C97" s="1" t="s">
        <v>3</v>
      </c>
      <c r="D97" s="1" t="s">
        <v>3</v>
      </c>
      <c r="E97" s="1" t="s">
        <v>3</v>
      </c>
      <c r="F97" s="1" t="s">
        <v>3</v>
      </c>
      <c r="G97" s="1" t="s">
        <v>3</v>
      </c>
      <c r="H97" s="1" t="s">
        <v>3</v>
      </c>
      <c r="I97" s="1" t="s">
        <v>3</v>
      </c>
      <c r="J97" s="1" t="s">
        <v>3</v>
      </c>
      <c r="K97" s="1" t="s">
        <v>3</v>
      </c>
      <c r="L97" s="1" t="s">
        <v>3</v>
      </c>
      <c r="M97" s="1" t="s">
        <v>3</v>
      </c>
      <c r="N97" s="1" t="s">
        <v>3</v>
      </c>
      <c r="O97" s="1" t="s">
        <v>3</v>
      </c>
      <c r="P97" s="1" t="s">
        <v>3</v>
      </c>
      <c r="Q97" s="1" t="s">
        <v>3</v>
      </c>
      <c r="R97" s="1" t="s">
        <v>3</v>
      </c>
      <c r="S97" s="1" t="s">
        <v>3</v>
      </c>
      <c r="T97" s="1" t="s">
        <v>3</v>
      </c>
      <c r="U97" t="e">
        <f t="shared" si="7"/>
        <v>#VALUE!</v>
      </c>
      <c r="V97" t="e">
        <f t="shared" si="8"/>
        <v>#VALUE!</v>
      </c>
      <c r="W97" t="e">
        <f t="shared" si="9"/>
        <v>#VALUE!</v>
      </c>
      <c r="X97" t="e">
        <f t="shared" si="10"/>
        <v>#VALUE!</v>
      </c>
      <c r="Y97" t="e">
        <f t="shared" si="11"/>
        <v>#VALUE!</v>
      </c>
      <c r="Z97" t="e">
        <f t="shared" si="12"/>
        <v>#VALUE!</v>
      </c>
      <c r="AA97" t="e">
        <f t="shared" si="13"/>
        <v>#VALUE!</v>
      </c>
    </row>
    <row r="98" spans="1:27" x14ac:dyDescent="0.35">
      <c r="A98" s="1" t="s">
        <v>3</v>
      </c>
      <c r="B98" s="1" t="s">
        <v>3</v>
      </c>
      <c r="C98" s="1" t="s">
        <v>3</v>
      </c>
      <c r="D98" s="1" t="s">
        <v>3</v>
      </c>
      <c r="E98" s="1" t="s">
        <v>3</v>
      </c>
      <c r="F98" s="1" t="s">
        <v>3</v>
      </c>
      <c r="G98" s="1" t="s">
        <v>3</v>
      </c>
      <c r="H98" s="1" t="s">
        <v>3</v>
      </c>
      <c r="I98" s="1" t="s">
        <v>3</v>
      </c>
      <c r="J98" s="1" t="s">
        <v>3</v>
      </c>
      <c r="K98" s="1" t="s">
        <v>3</v>
      </c>
      <c r="L98" s="1" t="s">
        <v>3</v>
      </c>
      <c r="M98" s="1" t="s">
        <v>3</v>
      </c>
      <c r="N98" s="1" t="s">
        <v>3</v>
      </c>
      <c r="O98" s="1" t="s">
        <v>3</v>
      </c>
      <c r="P98" s="1" t="s">
        <v>3</v>
      </c>
      <c r="Q98" s="1" t="s">
        <v>3</v>
      </c>
      <c r="R98" s="1" t="s">
        <v>3</v>
      </c>
      <c r="S98" s="1" t="s">
        <v>3</v>
      </c>
      <c r="T98" s="1" t="s">
        <v>3</v>
      </c>
      <c r="U98" t="e">
        <f t="shared" si="7"/>
        <v>#VALUE!</v>
      </c>
      <c r="V98" t="e">
        <f t="shared" si="8"/>
        <v>#VALUE!</v>
      </c>
      <c r="W98" t="e">
        <f t="shared" si="9"/>
        <v>#VALUE!</v>
      </c>
      <c r="X98" t="e">
        <f t="shared" si="10"/>
        <v>#VALUE!</v>
      </c>
      <c r="Y98" t="e">
        <f t="shared" si="11"/>
        <v>#VALUE!</v>
      </c>
      <c r="Z98" t="e">
        <f t="shared" si="12"/>
        <v>#VALUE!</v>
      </c>
      <c r="AA98" t="e">
        <f t="shared" si="13"/>
        <v>#VALUE!</v>
      </c>
    </row>
    <row r="99" spans="1:27" x14ac:dyDescent="0.35">
      <c r="A99" s="1" t="s">
        <v>3</v>
      </c>
      <c r="B99" s="1" t="s">
        <v>3</v>
      </c>
      <c r="C99" s="1" t="s">
        <v>3</v>
      </c>
      <c r="D99" s="1" t="s">
        <v>3</v>
      </c>
      <c r="E99" s="1" t="s">
        <v>3</v>
      </c>
      <c r="F99" s="1" t="s">
        <v>3</v>
      </c>
      <c r="G99" s="1" t="s">
        <v>3</v>
      </c>
      <c r="H99" s="1" t="s">
        <v>3</v>
      </c>
      <c r="I99" s="1" t="s">
        <v>3</v>
      </c>
      <c r="J99" s="1" t="s">
        <v>3</v>
      </c>
      <c r="K99" s="1" t="s">
        <v>3</v>
      </c>
      <c r="L99" s="1" t="s">
        <v>3</v>
      </c>
      <c r="M99" s="1" t="s">
        <v>3</v>
      </c>
      <c r="N99" s="1" t="s">
        <v>3</v>
      </c>
      <c r="O99" s="1" t="s">
        <v>3</v>
      </c>
      <c r="P99" s="1" t="s">
        <v>3</v>
      </c>
      <c r="Q99" s="1" t="s">
        <v>3</v>
      </c>
      <c r="R99" s="1" t="s">
        <v>3</v>
      </c>
      <c r="S99" s="1" t="s">
        <v>3</v>
      </c>
      <c r="T99" s="1" t="s">
        <v>3</v>
      </c>
      <c r="U99" t="e">
        <f t="shared" si="7"/>
        <v>#VALUE!</v>
      </c>
      <c r="V99" t="e">
        <f t="shared" si="8"/>
        <v>#VALUE!</v>
      </c>
      <c r="W99" t="e">
        <f t="shared" si="9"/>
        <v>#VALUE!</v>
      </c>
      <c r="X99" t="e">
        <f t="shared" si="10"/>
        <v>#VALUE!</v>
      </c>
      <c r="Y99" t="e">
        <f t="shared" si="11"/>
        <v>#VALUE!</v>
      </c>
      <c r="Z99" t="e">
        <f t="shared" si="12"/>
        <v>#VALUE!</v>
      </c>
      <c r="AA99" t="e">
        <f t="shared" si="13"/>
        <v>#VALUE!</v>
      </c>
    </row>
    <row r="100" spans="1:27" x14ac:dyDescent="0.35">
      <c r="A100" s="1" t="s">
        <v>3</v>
      </c>
      <c r="B100" s="1" t="s">
        <v>3</v>
      </c>
      <c r="C100" s="1" t="s">
        <v>3</v>
      </c>
      <c r="D100" s="1">
        <v>755.39439000000004</v>
      </c>
      <c r="E100" s="1">
        <v>70.254199999999997</v>
      </c>
      <c r="F100" s="1">
        <v>0.12280000000000001</v>
      </c>
      <c r="G100" s="1">
        <v>0.74226000000000003</v>
      </c>
      <c r="H100" s="1" t="s">
        <v>3</v>
      </c>
      <c r="I100" s="1">
        <v>-8.1659999999999996E-2</v>
      </c>
      <c r="J100" s="1">
        <v>13319746968</v>
      </c>
      <c r="K100" s="1">
        <v>-82094521795</v>
      </c>
      <c r="L100">
        <v>1005294708616</v>
      </c>
      <c r="M100">
        <v>-61699943041</v>
      </c>
      <c r="N100">
        <v>242068961619</v>
      </c>
      <c r="O100" s="1">
        <v>-77185025114</v>
      </c>
      <c r="P100" s="1">
        <v>706261802415</v>
      </c>
      <c r="Q100">
        <v>236416814204</v>
      </c>
      <c r="R100">
        <v>318511335999</v>
      </c>
      <c r="S100">
        <v>7831601852</v>
      </c>
      <c r="T100">
        <v>-0.16395000000000001</v>
      </c>
      <c r="U100">
        <f t="shared" si="7"/>
        <v>-9.1728915043615661E-2</v>
      </c>
      <c r="V100">
        <f t="shared" si="8"/>
        <v>5.2961963962635056E-2</v>
      </c>
      <c r="W100">
        <f t="shared" si="9"/>
        <v>-5.245262888217965E-2</v>
      </c>
      <c r="X100">
        <f t="shared" si="10"/>
        <v>1</v>
      </c>
      <c r="Y100">
        <f t="shared" si="11"/>
        <v>1</v>
      </c>
      <c r="Z100">
        <f t="shared" si="12"/>
        <v>1</v>
      </c>
      <c r="AA100">
        <f t="shared" si="13"/>
        <v>1</v>
      </c>
    </row>
    <row r="101" spans="1:27" x14ac:dyDescent="0.35">
      <c r="A101">
        <v>-11.0351907791767</v>
      </c>
      <c r="B101" s="1" t="s">
        <v>3</v>
      </c>
      <c r="C101">
        <v>-4.5110131247133999E-2</v>
      </c>
      <c r="D101" s="1" t="s">
        <v>3</v>
      </c>
      <c r="E101" s="1">
        <v>83.308750000000003</v>
      </c>
      <c r="F101" s="1">
        <v>-0.81588000000000005</v>
      </c>
      <c r="G101" s="1">
        <v>0.51637</v>
      </c>
      <c r="H101" s="1">
        <v>0.15178727782585799</v>
      </c>
      <c r="I101" s="1">
        <v>-0.22051999999999999</v>
      </c>
      <c r="J101" s="1">
        <v>-44516967667</v>
      </c>
      <c r="K101" s="1">
        <v>-215611077220</v>
      </c>
      <c r="L101">
        <v>977744741168</v>
      </c>
      <c r="M101">
        <v>-101223630195</v>
      </c>
      <c r="N101">
        <v>150500079952</v>
      </c>
      <c r="O101" s="1">
        <v>-109416093255</v>
      </c>
      <c r="P101" s="1">
        <v>814546927307</v>
      </c>
      <c r="Q101">
        <v>230207845060</v>
      </c>
      <c r="R101">
        <v>445818922280</v>
      </c>
      <c r="S101">
        <v>-44727584924</v>
      </c>
      <c r="T101">
        <v>-0.37848999999999999</v>
      </c>
      <c r="U101">
        <f t="shared" si="7"/>
        <v>-0.45585690183275251</v>
      </c>
      <c r="V101">
        <f t="shared" si="8"/>
        <v>0.95424398012845224</v>
      </c>
      <c r="W101">
        <f t="shared" si="9"/>
        <v>-0.46436474124874549</v>
      </c>
      <c r="X101">
        <f t="shared" si="10"/>
        <v>1</v>
      </c>
      <c r="Y101">
        <f t="shared" si="11"/>
        <v>1</v>
      </c>
      <c r="Z101">
        <f t="shared" si="12"/>
        <v>1</v>
      </c>
      <c r="AA101">
        <f t="shared" si="13"/>
        <v>1</v>
      </c>
    </row>
    <row r="102" spans="1:27" x14ac:dyDescent="0.35">
      <c r="A102">
        <v>53.229959368657902</v>
      </c>
      <c r="B102" s="1">
        <v>167.76628143638899</v>
      </c>
      <c r="C102">
        <v>0.57240117581591599</v>
      </c>
      <c r="D102">
        <v>79.653599999999997</v>
      </c>
      <c r="E102">
        <v>40.111049999999999</v>
      </c>
      <c r="F102">
        <v>18.23386</v>
      </c>
      <c r="G102">
        <v>0.35975000000000001</v>
      </c>
      <c r="H102">
        <v>0.14682422795222599</v>
      </c>
      <c r="I102">
        <v>-0.12945999999999999</v>
      </c>
      <c r="J102">
        <v>-13321179531</v>
      </c>
      <c r="K102" s="1">
        <v>-293300494606</v>
      </c>
      <c r="L102">
        <v>2265483090256</v>
      </c>
      <c r="M102">
        <v>875093479862</v>
      </c>
      <c r="N102">
        <v>238092211211</v>
      </c>
      <c r="O102" s="1">
        <v>863184428450</v>
      </c>
      <c r="P102" s="1">
        <v>908708970317</v>
      </c>
      <c r="Q102">
        <v>164802532909</v>
      </c>
      <c r="R102">
        <v>458103027515</v>
      </c>
      <c r="S102">
        <v>928213712073</v>
      </c>
      <c r="T102">
        <v>0.21767</v>
      </c>
      <c r="U102">
        <f t="shared" si="7"/>
        <v>2.42729789988147</v>
      </c>
      <c r="V102">
        <f t="shared" si="8"/>
        <v>-3.7268016221723039</v>
      </c>
      <c r="W102">
        <f t="shared" si="9"/>
        <v>1.244166049581009</v>
      </c>
      <c r="X102">
        <f t="shared" si="10"/>
        <v>0</v>
      </c>
      <c r="Y102">
        <f t="shared" si="11"/>
        <v>0</v>
      </c>
      <c r="Z102">
        <f t="shared" si="12"/>
        <v>0</v>
      </c>
      <c r="AA102">
        <f t="shared" si="13"/>
        <v>0</v>
      </c>
    </row>
    <row r="103" spans="1:27" x14ac:dyDescent="0.35">
      <c r="A103">
        <v>0.166140903036223</v>
      </c>
      <c r="B103" s="1">
        <v>0.28534461304334502</v>
      </c>
      <c r="C103">
        <v>3.3260765479463002E-2</v>
      </c>
      <c r="D103">
        <v>42.12567</v>
      </c>
      <c r="E103">
        <v>27.505459999999999</v>
      </c>
      <c r="F103">
        <v>1.44865</v>
      </c>
      <c r="G103">
        <v>1.98546</v>
      </c>
      <c r="H103">
        <v>0.110706663015814</v>
      </c>
      <c r="I103">
        <v>7.5859999999999997E-2</v>
      </c>
      <c r="J103">
        <v>47649919682</v>
      </c>
      <c r="K103" s="1">
        <v>191265669395</v>
      </c>
      <c r="L103">
        <v>2521415902502</v>
      </c>
      <c r="M103">
        <v>23431732793</v>
      </c>
      <c r="N103">
        <v>264970806841</v>
      </c>
      <c r="O103" s="1">
        <v>3976498607</v>
      </c>
      <c r="P103" s="1">
        <v>693527155144</v>
      </c>
      <c r="Q103">
        <v>385354245287</v>
      </c>
      <c r="R103">
        <v>194088575892</v>
      </c>
      <c r="S103">
        <v>79607962386</v>
      </c>
      <c r="T103">
        <v>0.19714999999999999</v>
      </c>
      <c r="U103">
        <f t="shared" si="7"/>
        <v>0.29677546743631306</v>
      </c>
      <c r="V103">
        <f t="shared" si="8"/>
        <v>-2.7313436059005669</v>
      </c>
      <c r="W103">
        <f t="shared" si="9"/>
        <v>0.28966192691942877</v>
      </c>
      <c r="X103">
        <f t="shared" si="10"/>
        <v>1</v>
      </c>
      <c r="Y103">
        <f t="shared" si="11"/>
        <v>0</v>
      </c>
      <c r="Z103">
        <f t="shared" si="12"/>
        <v>0</v>
      </c>
      <c r="AA103">
        <f t="shared" si="13"/>
        <v>0</v>
      </c>
    </row>
    <row r="104" spans="1:27" x14ac:dyDescent="0.35">
      <c r="A104">
        <v>1.5788750139538399</v>
      </c>
      <c r="B104" s="1">
        <v>2.3766768728630101</v>
      </c>
      <c r="C104">
        <v>4.4168814468854997E-2</v>
      </c>
      <c r="D104">
        <v>39.905760000000001</v>
      </c>
      <c r="E104">
        <v>26.9693</v>
      </c>
      <c r="F104">
        <v>2.4173399999999998</v>
      </c>
      <c r="G104">
        <v>2.0075699999999999</v>
      </c>
      <c r="H104">
        <v>0.138395555173386</v>
      </c>
      <c r="I104">
        <v>5.9560000000000002E-2</v>
      </c>
      <c r="J104">
        <v>69026561047</v>
      </c>
      <c r="K104" s="1">
        <v>148582767772</v>
      </c>
      <c r="L104">
        <v>2494630511563</v>
      </c>
      <c r="M104">
        <v>64396316021</v>
      </c>
      <c r="N104">
        <v>347099264125</v>
      </c>
      <c r="O104" s="1">
        <v>39598551760</v>
      </c>
      <c r="P104" s="1">
        <v>672784379558</v>
      </c>
      <c r="Q104">
        <v>296048925278</v>
      </c>
      <c r="R104">
        <v>147466157506</v>
      </c>
      <c r="S104">
        <v>110776411715</v>
      </c>
      <c r="T104">
        <v>0.21514</v>
      </c>
      <c r="U104">
        <f t="shared" si="7"/>
        <v>0.54154187137698262</v>
      </c>
      <c r="V104">
        <f t="shared" si="8"/>
        <v>-2.826150440017257</v>
      </c>
      <c r="W104">
        <f t="shared" si="9"/>
        <v>0.30668749730378247</v>
      </c>
      <c r="X104">
        <f t="shared" si="10"/>
        <v>1</v>
      </c>
      <c r="Y104">
        <f t="shared" si="11"/>
        <v>0</v>
      </c>
      <c r="Z104">
        <f t="shared" si="12"/>
        <v>0</v>
      </c>
      <c r="AA104">
        <f t="shared" si="13"/>
        <v>0</v>
      </c>
    </row>
    <row r="105" spans="1:27" x14ac:dyDescent="0.35">
      <c r="A105">
        <v>13.041154758670601</v>
      </c>
      <c r="B105" s="1">
        <v>18.511388297160401</v>
      </c>
      <c r="C105">
        <v>5.4830478943334003E-2</v>
      </c>
      <c r="D105">
        <v>30.695329999999998</v>
      </c>
      <c r="E105">
        <v>22.390470000000001</v>
      </c>
      <c r="F105">
        <v>3.5431499999999998</v>
      </c>
      <c r="G105">
        <v>1.31528</v>
      </c>
      <c r="H105">
        <v>0.13485401633944299</v>
      </c>
      <c r="I105">
        <v>1.7219999999999999E-2</v>
      </c>
      <c r="J105">
        <v>105258300209</v>
      </c>
      <c r="K105" s="1">
        <v>49366552485</v>
      </c>
      <c r="L105">
        <v>2866621350778</v>
      </c>
      <c r="M105">
        <v>376976952975</v>
      </c>
      <c r="N105">
        <v>361493173122</v>
      </c>
      <c r="O105" s="1">
        <v>349584576185</v>
      </c>
      <c r="P105" s="1">
        <v>641850013756</v>
      </c>
      <c r="Q105">
        <v>205948282084</v>
      </c>
      <c r="R105">
        <v>156581729599</v>
      </c>
      <c r="S105">
        <v>146980003674</v>
      </c>
      <c r="T105">
        <v>0.30042000000000002</v>
      </c>
      <c r="U105">
        <f t="shared" si="7"/>
        <v>1.814564461130465</v>
      </c>
      <c r="V105">
        <f t="shared" si="8"/>
        <v>-3.5672572243511569</v>
      </c>
      <c r="W105">
        <f t="shared" si="9"/>
        <v>0.26189908692199421</v>
      </c>
      <c r="X105">
        <f t="shared" si="10"/>
        <v>0</v>
      </c>
      <c r="Y105">
        <f t="shared" si="11"/>
        <v>0</v>
      </c>
      <c r="Z105">
        <f t="shared" si="12"/>
        <v>0</v>
      </c>
      <c r="AA105">
        <f t="shared" si="13"/>
        <v>0</v>
      </c>
    </row>
    <row r="106" spans="1:27" x14ac:dyDescent="0.35">
      <c r="A106" s="1" t="s">
        <v>3</v>
      </c>
      <c r="B106" s="1" t="s">
        <v>3</v>
      </c>
      <c r="C106" s="1" t="s">
        <v>3</v>
      </c>
      <c r="D106" s="1" t="s">
        <v>3</v>
      </c>
      <c r="E106" s="1" t="s">
        <v>3</v>
      </c>
      <c r="F106" s="1" t="s">
        <v>3</v>
      </c>
      <c r="G106" s="1" t="s">
        <v>3</v>
      </c>
      <c r="H106" s="1" t="s">
        <v>3</v>
      </c>
      <c r="I106" s="1" t="s">
        <v>3</v>
      </c>
      <c r="J106" s="1" t="s">
        <v>3</v>
      </c>
      <c r="K106" s="1" t="s">
        <v>3</v>
      </c>
      <c r="L106" s="1" t="s">
        <v>3</v>
      </c>
      <c r="M106" s="1" t="s">
        <v>3</v>
      </c>
      <c r="N106" s="1" t="s">
        <v>3</v>
      </c>
      <c r="O106" s="1" t="s">
        <v>3</v>
      </c>
      <c r="P106" s="1" t="s">
        <v>3</v>
      </c>
      <c r="Q106" s="1" t="s">
        <v>3</v>
      </c>
      <c r="R106" s="1" t="s">
        <v>3</v>
      </c>
      <c r="S106" s="1" t="s">
        <v>3</v>
      </c>
      <c r="T106" s="1" t="s">
        <v>3</v>
      </c>
      <c r="U106" t="e">
        <f t="shared" si="7"/>
        <v>#VALUE!</v>
      </c>
      <c r="V106" t="e">
        <f t="shared" si="8"/>
        <v>#VALUE!</v>
      </c>
      <c r="W106" t="e">
        <f t="shared" si="9"/>
        <v>#VALUE!</v>
      </c>
      <c r="X106" t="e">
        <f t="shared" si="10"/>
        <v>#VALUE!</v>
      </c>
      <c r="Y106" t="e">
        <f t="shared" si="11"/>
        <v>#VALUE!</v>
      </c>
      <c r="Z106" t="e">
        <f t="shared" si="12"/>
        <v>#VALUE!</v>
      </c>
      <c r="AA106" t="e">
        <f t="shared" si="13"/>
        <v>#VALUE!</v>
      </c>
    </row>
    <row r="107" spans="1:27" x14ac:dyDescent="0.35">
      <c r="A107" s="1">
        <v>0.34042330961356498</v>
      </c>
      <c r="B107" s="1">
        <v>0.50186031129736197</v>
      </c>
      <c r="C107" s="1">
        <v>3.1984226918564E-2</v>
      </c>
      <c r="D107" s="1">
        <v>49.54222</v>
      </c>
      <c r="E107" s="1">
        <v>28.69144</v>
      </c>
      <c r="F107" s="1">
        <v>0.90769999999999995</v>
      </c>
      <c r="G107" s="1">
        <v>0.51958000000000004</v>
      </c>
      <c r="H107" s="1">
        <v>0.38386753129957402</v>
      </c>
      <c r="I107" s="1">
        <v>-0.11867</v>
      </c>
      <c r="J107" s="1">
        <v>32870909000</v>
      </c>
      <c r="K107" s="1">
        <v>-23840097000</v>
      </c>
      <c r="L107" s="1">
        <v>200898006000</v>
      </c>
      <c r="M107" s="1">
        <v>458454000</v>
      </c>
      <c r="N107" s="1">
        <v>73018806000</v>
      </c>
      <c r="O107" s="1">
        <v>647549000</v>
      </c>
      <c r="P107" s="1">
        <v>57640524000</v>
      </c>
      <c r="Q107" s="1">
        <v>25783270000</v>
      </c>
      <c r="R107" s="1">
        <v>49623367000</v>
      </c>
      <c r="S107" s="1">
        <v>6084000000</v>
      </c>
      <c r="T107" s="1">
        <v>7.1069999999999994E-2</v>
      </c>
      <c r="U107">
        <f t="shared" si="7"/>
        <v>0.12222661272531493</v>
      </c>
      <c r="V107">
        <f t="shared" si="8"/>
        <v>-2.677014523420147</v>
      </c>
      <c r="W107">
        <f t="shared" si="9"/>
        <v>-3.566325553276025E-2</v>
      </c>
      <c r="X107">
        <f t="shared" si="10"/>
        <v>1</v>
      </c>
      <c r="Y107">
        <f t="shared" si="11"/>
        <v>0</v>
      </c>
      <c r="Z107">
        <f t="shared" si="12"/>
        <v>1</v>
      </c>
      <c r="AA107">
        <f t="shared" si="13"/>
        <v>1</v>
      </c>
    </row>
    <row r="108" spans="1:27" x14ac:dyDescent="0.35">
      <c r="A108" s="1">
        <v>-20.659222953765799</v>
      </c>
      <c r="B108" s="1">
        <v>-36.724493404783502</v>
      </c>
      <c r="C108" s="1">
        <v>-2.1437798813470001E-2</v>
      </c>
      <c r="D108" s="1">
        <v>57.573889999999999</v>
      </c>
      <c r="E108" s="1">
        <v>30.9636</v>
      </c>
      <c r="F108" s="1">
        <v>-0.40919</v>
      </c>
      <c r="G108" s="1">
        <v>0.68369999999999997</v>
      </c>
      <c r="H108" s="1">
        <v>0.292142930876028</v>
      </c>
      <c r="I108" s="1">
        <v>-7.6730000000000007E-2</v>
      </c>
      <c r="J108" s="1">
        <v>6878579000</v>
      </c>
      <c r="K108" s="1">
        <v>-11440567000</v>
      </c>
      <c r="L108" s="1">
        <v>149109224000</v>
      </c>
      <c r="M108" s="1">
        <v>-38508041000</v>
      </c>
      <c r="N108" s="1">
        <v>51126069000</v>
      </c>
      <c r="O108" s="1">
        <v>-36154387000</v>
      </c>
      <c r="P108" s="1">
        <v>46169580000</v>
      </c>
      <c r="Q108" s="1">
        <v>24729979000</v>
      </c>
      <c r="R108" s="1">
        <v>36170546000</v>
      </c>
      <c r="S108" s="1">
        <v>-3751692290</v>
      </c>
      <c r="T108" s="1">
        <v>-0.10666</v>
      </c>
      <c r="U108">
        <f t="shared" si="7"/>
        <v>-0.72177257498429515</v>
      </c>
      <c r="V108">
        <f t="shared" si="8"/>
        <v>-1.4412289402062766</v>
      </c>
      <c r="W108">
        <f t="shared" si="9"/>
        <v>-0.15912456582270187</v>
      </c>
      <c r="X108">
        <f t="shared" si="10"/>
        <v>1</v>
      </c>
      <c r="Y108">
        <f t="shared" si="11"/>
        <v>0</v>
      </c>
      <c r="Z108">
        <f t="shared" si="12"/>
        <v>1</v>
      </c>
      <c r="AA108">
        <f t="shared" si="13"/>
        <v>1</v>
      </c>
    </row>
    <row r="109" spans="1:27" x14ac:dyDescent="0.35">
      <c r="A109" s="1">
        <v>-18.5815441448282</v>
      </c>
      <c r="B109" s="1">
        <v>-37.6844843630547</v>
      </c>
      <c r="C109" s="1">
        <v>-7.9221321598699993E-3</v>
      </c>
      <c r="D109" s="1">
        <v>65.609849999999994</v>
      </c>
      <c r="E109" s="1">
        <v>31.651039999999998</v>
      </c>
      <c r="F109" s="1">
        <v>-0.16436999999999999</v>
      </c>
      <c r="G109" s="1">
        <v>0.78305999999999998</v>
      </c>
      <c r="H109" s="1">
        <v>0.34751779859777499</v>
      </c>
      <c r="I109" s="1">
        <v>-5.3580000000000003E-2</v>
      </c>
      <c r="J109" s="1">
        <v>6656888000</v>
      </c>
      <c r="K109" s="1">
        <v>-6177813000</v>
      </c>
      <c r="L109" s="1">
        <v>115306971000</v>
      </c>
      <c r="M109" s="1">
        <v>-24930381000</v>
      </c>
      <c r="N109" s="1">
        <v>45944667000</v>
      </c>
      <c r="O109" s="1">
        <v>-24566306000</v>
      </c>
      <c r="P109" s="1">
        <v>36495851000</v>
      </c>
      <c r="Q109" s="1">
        <v>22298889000</v>
      </c>
      <c r="R109" s="1">
        <v>28476702000</v>
      </c>
      <c r="S109" s="1">
        <v>-1047370021</v>
      </c>
      <c r="T109" s="1">
        <v>-0.32244</v>
      </c>
      <c r="U109">
        <f t="shared" si="7"/>
        <v>-0.50149558651567172</v>
      </c>
      <c r="V109">
        <f t="shared" si="8"/>
        <v>-1.5340276325933631</v>
      </c>
      <c r="W109">
        <f t="shared" si="9"/>
        <v>-6.5730653444048923E-2</v>
      </c>
      <c r="X109">
        <f t="shared" si="10"/>
        <v>1</v>
      </c>
      <c r="Y109">
        <f t="shared" si="11"/>
        <v>0</v>
      </c>
      <c r="Z109">
        <f t="shared" si="12"/>
        <v>1</v>
      </c>
      <c r="AA109">
        <f t="shared" si="13"/>
        <v>1</v>
      </c>
    </row>
    <row r="110" spans="1:27" x14ac:dyDescent="0.35">
      <c r="A110" s="1">
        <v>-11.206458949050701</v>
      </c>
      <c r="B110" s="1">
        <v>-22.877514595647</v>
      </c>
      <c r="C110" s="1">
        <v>-7.7402197391258004E-2</v>
      </c>
      <c r="D110" s="1">
        <v>58.610840000000003</v>
      </c>
      <c r="E110" s="1">
        <v>28.805630000000001</v>
      </c>
      <c r="F110" s="1">
        <v>-2.7570700000000001</v>
      </c>
      <c r="G110" s="1">
        <v>0.66500000000000004</v>
      </c>
      <c r="H110" s="1">
        <v>0.26618417458508697</v>
      </c>
      <c r="I110" s="1">
        <v>-8.1280000000000005E-2</v>
      </c>
      <c r="J110" s="1">
        <v>4074933000</v>
      </c>
      <c r="K110" s="1">
        <v>-7298384000</v>
      </c>
      <c r="L110" s="1">
        <v>89797604000</v>
      </c>
      <c r="M110" s="1">
        <v>-13997621000</v>
      </c>
      <c r="N110" s="1">
        <v>27297796000</v>
      </c>
      <c r="O110" s="1">
        <v>-11492480000</v>
      </c>
      <c r="P110" s="1">
        <v>25866770000</v>
      </c>
      <c r="Q110" s="1">
        <v>14488004000</v>
      </c>
      <c r="R110" s="1">
        <v>21786388000</v>
      </c>
      <c r="S110" s="1">
        <v>-7937772400</v>
      </c>
      <c r="T110" s="1">
        <v>-0.51880000000000004</v>
      </c>
      <c r="U110">
        <f t="shared" si="7"/>
        <v>-0.65753970194863676</v>
      </c>
      <c r="V110">
        <f t="shared" si="8"/>
        <v>-2.0794996451177274</v>
      </c>
      <c r="W110">
        <f t="shared" si="9"/>
        <v>-0.38005387205654179</v>
      </c>
      <c r="X110">
        <f t="shared" si="10"/>
        <v>1</v>
      </c>
      <c r="Y110">
        <f t="shared" si="11"/>
        <v>0</v>
      </c>
      <c r="Z110">
        <f t="shared" si="12"/>
        <v>1</v>
      </c>
      <c r="AA110">
        <f t="shared" si="13"/>
        <v>1</v>
      </c>
    </row>
    <row r="111" spans="1:27" x14ac:dyDescent="0.35">
      <c r="A111" s="1">
        <v>-16.595645996771999</v>
      </c>
      <c r="B111" s="1">
        <v>-33.755410506470803</v>
      </c>
      <c r="C111" s="1">
        <v>-0.24917450707299199</v>
      </c>
      <c r="D111" s="1">
        <v>71.221729999999994</v>
      </c>
      <c r="E111" s="1">
        <v>32.28228</v>
      </c>
      <c r="F111" s="1">
        <v>-49.550179999999997</v>
      </c>
      <c r="G111" s="1">
        <v>0.32252999999999998</v>
      </c>
      <c r="H111" s="1">
        <v>0.214326485004248</v>
      </c>
      <c r="I111" s="1">
        <v>-0.26099</v>
      </c>
      <c r="J111" s="1">
        <v>-590641000</v>
      </c>
      <c r="K111" s="1">
        <v>-17809935000</v>
      </c>
      <c r="L111" s="1">
        <v>68239486000</v>
      </c>
      <c r="M111" s="1">
        <v>-14837085000</v>
      </c>
      <c r="N111" s="1">
        <v>16935767000</v>
      </c>
      <c r="O111" s="1">
        <v>-13113638000</v>
      </c>
      <c r="P111" s="1">
        <v>22029265000</v>
      </c>
      <c r="Q111" s="1">
        <v>8479052000</v>
      </c>
      <c r="R111" s="1">
        <v>26288987000</v>
      </c>
      <c r="S111" s="1">
        <v>-19689407000</v>
      </c>
      <c r="T111" s="1">
        <v>-0.83681000000000005</v>
      </c>
      <c r="U111">
        <f t="shared" si="7"/>
        <v>-1.427841483970312</v>
      </c>
      <c r="V111">
        <f t="shared" si="8"/>
        <v>-1.59385096334387</v>
      </c>
      <c r="W111">
        <f t="shared" si="9"/>
        <v>-1.3588804242165597</v>
      </c>
      <c r="X111">
        <f t="shared" si="10"/>
        <v>1</v>
      </c>
      <c r="Y111">
        <f t="shared" si="11"/>
        <v>0</v>
      </c>
      <c r="Z111">
        <f t="shared" si="12"/>
        <v>1</v>
      </c>
      <c r="AA111">
        <f t="shared" si="13"/>
        <v>1</v>
      </c>
    </row>
    <row r="112" spans="1:27" x14ac:dyDescent="0.35">
      <c r="A112" s="1">
        <v>0.34153897720588</v>
      </c>
      <c r="B112" s="1">
        <v>0.63991614692375598</v>
      </c>
      <c r="C112" s="1">
        <v>-4.4319858890997002E-2</v>
      </c>
      <c r="D112" s="1">
        <v>69.691590000000005</v>
      </c>
      <c r="E112" s="1">
        <v>32.765050000000002</v>
      </c>
      <c r="F112" s="1">
        <v>-47.800199999999997</v>
      </c>
      <c r="G112" s="1">
        <v>0.34126000000000001</v>
      </c>
      <c r="H112" s="1">
        <v>0.250058963933107</v>
      </c>
      <c r="I112" s="1">
        <v>-0.24582999999999999</v>
      </c>
      <c r="J112" s="1">
        <v>1176526367</v>
      </c>
      <c r="K112" s="1">
        <v>-16047568135</v>
      </c>
      <c r="L112" s="1">
        <v>65279995065</v>
      </c>
      <c r="M112" s="1">
        <v>-128980197</v>
      </c>
      <c r="N112" s="1">
        <v>16693871550</v>
      </c>
      <c r="O112" s="1">
        <v>228010535</v>
      </c>
      <c r="P112" s="1">
        <v>21389025181</v>
      </c>
      <c r="Q112" s="1">
        <v>8313506495</v>
      </c>
      <c r="R112" s="1">
        <v>24361074630</v>
      </c>
      <c r="S112" s="1">
        <v>-2958782280</v>
      </c>
      <c r="T112" s="1">
        <v>-0.87124999999999997</v>
      </c>
      <c r="U112">
        <f t="shared" si="7"/>
        <v>-0.29355120903250115</v>
      </c>
      <c r="V112">
        <f t="shared" si="8"/>
        <v>-2.4467445531659213</v>
      </c>
      <c r="W112">
        <f t="shared" si="9"/>
        <v>-0.50284278336602539</v>
      </c>
      <c r="X112">
        <f t="shared" si="10"/>
        <v>1</v>
      </c>
      <c r="Y112">
        <f t="shared" si="11"/>
        <v>0</v>
      </c>
      <c r="Z112">
        <f t="shared" si="12"/>
        <v>1</v>
      </c>
      <c r="AA112">
        <f t="shared" si="13"/>
        <v>1</v>
      </c>
    </row>
    <row r="113" spans="1:27" x14ac:dyDescent="0.35">
      <c r="A113" s="1">
        <v>0.26474711287930902</v>
      </c>
      <c r="B113" s="1">
        <v>0.44552573484119101</v>
      </c>
      <c r="C113" s="1">
        <v>-7.0465521972956996E-2</v>
      </c>
      <c r="D113" s="1">
        <v>62.701079999999997</v>
      </c>
      <c r="E113" s="1">
        <v>34.061770000000003</v>
      </c>
      <c r="F113" s="1">
        <v>-29.96847</v>
      </c>
      <c r="G113" s="1">
        <v>2.8250099999999998</v>
      </c>
      <c r="H113" s="1">
        <v>0.15172892079056999</v>
      </c>
      <c r="I113" s="1">
        <v>0.10736</v>
      </c>
      <c r="J113" s="1">
        <v>-6620401153</v>
      </c>
      <c r="K113" s="1">
        <v>6088541297</v>
      </c>
      <c r="L113" s="1">
        <v>56711022887</v>
      </c>
      <c r="M113" s="1">
        <v>-534072139</v>
      </c>
      <c r="N113" s="1">
        <v>9254782750</v>
      </c>
      <c r="O113" s="1">
        <v>161483849</v>
      </c>
      <c r="P113" s="1">
        <v>19316777080</v>
      </c>
      <c r="Q113" s="1">
        <v>9424704257</v>
      </c>
      <c r="R113" s="1">
        <v>3336162960</v>
      </c>
      <c r="S113" s="1">
        <v>-4298080378</v>
      </c>
      <c r="T113" s="1">
        <v>-1.0000500000000001</v>
      </c>
      <c r="U113">
        <f t="shared" si="7"/>
        <v>-0.1624708762789604</v>
      </c>
      <c r="V113">
        <f t="shared" si="8"/>
        <v>-2.3599928553923863</v>
      </c>
      <c r="W113">
        <f t="shared" si="9"/>
        <v>-2.3795381423605724E-2</v>
      </c>
      <c r="X113">
        <f t="shared" si="10"/>
        <v>1</v>
      </c>
      <c r="Y113">
        <f t="shared" si="11"/>
        <v>0</v>
      </c>
      <c r="Z113">
        <f t="shared" si="12"/>
        <v>1</v>
      </c>
      <c r="AA113">
        <f t="shared" si="13"/>
        <v>1</v>
      </c>
    </row>
    <row r="114" spans="1:27" x14ac:dyDescent="0.35">
      <c r="A114" s="1">
        <v>0.101470197509315</v>
      </c>
      <c r="B114" s="1">
        <v>0.17181830623883601</v>
      </c>
      <c r="C114" s="1">
        <v>2.2940633146379999E-3</v>
      </c>
      <c r="D114" s="1">
        <v>103.14367</v>
      </c>
      <c r="E114" s="1">
        <v>46.531689999999998</v>
      </c>
      <c r="F114" s="1">
        <v>1.7042900000000001</v>
      </c>
      <c r="G114" s="1">
        <v>2.2391100000000002</v>
      </c>
      <c r="H114" s="1">
        <v>0.47917212196008302</v>
      </c>
      <c r="I114" s="1">
        <v>0.19059999999999999</v>
      </c>
      <c r="J114" s="1">
        <v>-7741694277</v>
      </c>
      <c r="K114" s="1">
        <v>13080407355</v>
      </c>
      <c r="L114" s="1">
        <v>68628672040</v>
      </c>
      <c r="M114" s="1">
        <v>167312117</v>
      </c>
      <c r="N114" s="1">
        <v>30029643792</v>
      </c>
      <c r="O114" s="1">
        <v>63591218</v>
      </c>
      <c r="P114" s="1">
        <v>31934084133</v>
      </c>
      <c r="Q114" s="1">
        <v>23636665732</v>
      </c>
      <c r="R114" s="1">
        <v>10556258377</v>
      </c>
      <c r="S114" s="1">
        <v>143768598</v>
      </c>
      <c r="T114" s="1">
        <v>-0.82572999999999996</v>
      </c>
      <c r="U114">
        <f t="shared" si="7"/>
        <v>0.38823352966046576</v>
      </c>
      <c r="V114">
        <f t="shared" si="8"/>
        <v>-1.6429066404286017</v>
      </c>
      <c r="W114">
        <f t="shared" si="9"/>
        <v>0.3786305553743598</v>
      </c>
      <c r="X114">
        <f t="shared" si="10"/>
        <v>1</v>
      </c>
      <c r="Y114">
        <f t="shared" si="11"/>
        <v>0</v>
      </c>
      <c r="Z114">
        <f t="shared" si="12"/>
        <v>0</v>
      </c>
      <c r="AA114">
        <f t="shared" si="13"/>
        <v>0</v>
      </c>
    </row>
    <row r="115" spans="1:27" x14ac:dyDescent="0.35">
      <c r="A115" s="1">
        <v>0.84337237151911304</v>
      </c>
      <c r="B115" s="1">
        <v>1.8779254630820701</v>
      </c>
      <c r="C115" s="1">
        <v>1.2401907812461E-2</v>
      </c>
      <c r="D115" s="1">
        <v>91.856440000000006</v>
      </c>
      <c r="E115" s="1">
        <v>43.373660000000001</v>
      </c>
      <c r="F115" s="1">
        <v>1.48776</v>
      </c>
      <c r="G115" s="1">
        <v>1.71922</v>
      </c>
      <c r="H115" s="1">
        <v>1.65276214507653</v>
      </c>
      <c r="I115" s="1">
        <v>0.16819000000000001</v>
      </c>
      <c r="J115" s="1">
        <v>1234551758</v>
      </c>
      <c r="K115" s="1">
        <v>10091029614</v>
      </c>
      <c r="L115" s="1">
        <v>59996774635</v>
      </c>
      <c r="M115" s="1">
        <v>428276914</v>
      </c>
      <c r="N115" s="1">
        <v>106293634579</v>
      </c>
      <c r="O115" s="1">
        <v>542395740</v>
      </c>
      <c r="P115" s="1">
        <v>26022796420</v>
      </c>
      <c r="Q115" s="1">
        <v>24121591607</v>
      </c>
      <c r="R115" s="1">
        <v>14030561993</v>
      </c>
      <c r="S115" s="1">
        <v>797600466</v>
      </c>
      <c r="T115" s="1">
        <v>-0.91564000000000001</v>
      </c>
      <c r="U115">
        <f t="shared" si="7"/>
        <v>0.94285994907692705</v>
      </c>
      <c r="V115">
        <f t="shared" si="8"/>
        <v>-1.8615064353002935</v>
      </c>
      <c r="W115">
        <f t="shared" si="9"/>
        <v>0.3799158450444759</v>
      </c>
      <c r="X115">
        <f t="shared" si="10"/>
        <v>0</v>
      </c>
      <c r="Y115">
        <f t="shared" si="11"/>
        <v>0</v>
      </c>
      <c r="Z115">
        <f t="shared" si="12"/>
        <v>0</v>
      </c>
      <c r="AA115">
        <f t="shared" si="13"/>
        <v>0</v>
      </c>
    </row>
    <row r="116" spans="1:27" x14ac:dyDescent="0.35">
      <c r="A116" s="1">
        <v>7.7537865490429603</v>
      </c>
      <c r="B116" s="1">
        <v>20.599356358246599</v>
      </c>
      <c r="C116" s="1">
        <v>0.13360864799372801</v>
      </c>
      <c r="D116" s="1">
        <v>231.57991000000001</v>
      </c>
      <c r="E116" s="1">
        <v>53.917920000000002</v>
      </c>
      <c r="F116" s="1">
        <v>1.6812499999999999</v>
      </c>
      <c r="G116" s="1">
        <v>0.62726999999999999</v>
      </c>
      <c r="H116" s="1">
        <v>0.89706867976825599</v>
      </c>
      <c r="I116" s="1">
        <v>-0.14573</v>
      </c>
      <c r="J116" s="1">
        <v>4956045571</v>
      </c>
      <c r="K116" s="1">
        <v>-20891225698</v>
      </c>
      <c r="L116" s="1">
        <v>143353133623</v>
      </c>
      <c r="M116" s="1">
        <v>8416394156</v>
      </c>
      <c r="N116" s="1">
        <v>91209416866</v>
      </c>
      <c r="O116" s="1">
        <v>7883658917</v>
      </c>
      <c r="P116" s="1">
        <v>77293025541</v>
      </c>
      <c r="Q116" s="1">
        <v>35158226485</v>
      </c>
      <c r="R116" s="1">
        <v>56049452183</v>
      </c>
      <c r="S116" s="1">
        <v>13584653156</v>
      </c>
      <c r="T116" s="1">
        <v>-0.41250999999999999</v>
      </c>
      <c r="U116">
        <f t="shared" si="7"/>
        <v>0.49442799192065762</v>
      </c>
      <c r="V116">
        <f t="shared" si="8"/>
        <v>-1.4716456028781026</v>
      </c>
      <c r="W116">
        <f t="shared" si="9"/>
        <v>0.13999627070089443</v>
      </c>
      <c r="X116">
        <f t="shared" si="10"/>
        <v>1</v>
      </c>
      <c r="Y116">
        <f t="shared" si="11"/>
        <v>0</v>
      </c>
      <c r="Z116">
        <f t="shared" si="12"/>
        <v>0</v>
      </c>
      <c r="AA116">
        <f t="shared" si="13"/>
        <v>0</v>
      </c>
    </row>
    <row r="117" spans="1:27" x14ac:dyDescent="0.35">
      <c r="A117" s="1">
        <v>-3.1840377680501901</v>
      </c>
      <c r="B117" s="1">
        <v>-13.730734432529299</v>
      </c>
      <c r="C117" s="1">
        <v>2.7916510447757999E-2</v>
      </c>
      <c r="D117" s="1">
        <v>256.46852999999999</v>
      </c>
      <c r="E117" s="1">
        <v>41.963090000000001</v>
      </c>
      <c r="F117" s="1">
        <v>0.52139999999999997</v>
      </c>
      <c r="G117" s="1">
        <v>0.76915999999999995</v>
      </c>
      <c r="H117" s="1">
        <v>0.56512586403607401</v>
      </c>
      <c r="I117" s="1">
        <v>-0.12567999999999999</v>
      </c>
      <c r="J117" s="1">
        <v>8639543295</v>
      </c>
      <c r="K117" s="1">
        <v>-22034086277</v>
      </c>
      <c r="L117" s="1">
        <v>175317496098</v>
      </c>
      <c r="M117" s="1">
        <v>-4747330681</v>
      </c>
      <c r="N117" s="1">
        <v>90044507482</v>
      </c>
      <c r="O117" s="1">
        <v>-5073296603</v>
      </c>
      <c r="P117" s="1">
        <v>73568631331</v>
      </c>
      <c r="Q117" s="1">
        <v>73415897259</v>
      </c>
      <c r="R117" s="1">
        <v>95449983536</v>
      </c>
      <c r="S117" s="1">
        <v>4448085982</v>
      </c>
      <c r="T117" s="1">
        <v>-0.33849000000000001</v>
      </c>
      <c r="U117">
        <f t="shared" si="7"/>
        <v>0.12105666452456273</v>
      </c>
      <c r="V117">
        <f t="shared" si="8"/>
        <v>-1.7748075409062603</v>
      </c>
      <c r="W117">
        <f t="shared" si="9"/>
        <v>-6.4471791999959699E-2</v>
      </c>
      <c r="X117">
        <f t="shared" si="10"/>
        <v>1</v>
      </c>
      <c r="Y117">
        <f t="shared" si="11"/>
        <v>0</v>
      </c>
      <c r="Z117">
        <f t="shared" si="12"/>
        <v>1</v>
      </c>
      <c r="AA117">
        <f t="shared" si="13"/>
        <v>1</v>
      </c>
    </row>
    <row r="118" spans="1:27" x14ac:dyDescent="0.35">
      <c r="A118" s="1">
        <v>-1.14271147501198</v>
      </c>
      <c r="B118" s="1" t="s">
        <v>3</v>
      </c>
      <c r="C118" s="1">
        <v>0.100715795165217</v>
      </c>
      <c r="D118" s="1">
        <v>315.63024999999999</v>
      </c>
      <c r="E118" s="1">
        <v>37.538739999999997</v>
      </c>
      <c r="F118" s="1">
        <v>2.0186899999999999</v>
      </c>
      <c r="G118" s="1">
        <v>0.29532999999999998</v>
      </c>
      <c r="H118" s="1">
        <v>2.1134479181310701</v>
      </c>
      <c r="I118" s="1">
        <v>-0.34072000000000002</v>
      </c>
      <c r="J118" s="1">
        <v>712838468437</v>
      </c>
      <c r="K118" s="1">
        <v>-1194187286686</v>
      </c>
      <c r="L118" s="1">
        <v>3504893924861</v>
      </c>
      <c r="M118" s="1">
        <v>92498432914</v>
      </c>
      <c r="N118" s="1">
        <v>3888967582954</v>
      </c>
      <c r="O118" s="1">
        <v>-21027099106</v>
      </c>
      <c r="P118" s="1">
        <v>1315693164413</v>
      </c>
      <c r="Q118" s="1">
        <v>500498721783</v>
      </c>
      <c r="R118" s="1">
        <v>1694686008469</v>
      </c>
      <c r="S118" s="1">
        <v>185327709819</v>
      </c>
      <c r="T118" s="1">
        <v>-1.38862</v>
      </c>
      <c r="U118">
        <f t="shared" si="7"/>
        <v>0.29124694901083104</v>
      </c>
      <c r="V118">
        <f t="shared" si="8"/>
        <v>-2.132113152045334</v>
      </c>
      <c r="W118">
        <f t="shared" si="9"/>
        <v>-0.3252911509217381</v>
      </c>
      <c r="X118">
        <f t="shared" si="10"/>
        <v>1</v>
      </c>
      <c r="Y118">
        <f t="shared" si="11"/>
        <v>0</v>
      </c>
      <c r="Z118">
        <f t="shared" si="12"/>
        <v>1</v>
      </c>
      <c r="AA118">
        <f t="shared" si="13"/>
        <v>1</v>
      </c>
    </row>
    <row r="119" spans="1:27" x14ac:dyDescent="0.35">
      <c r="A119" s="1">
        <v>-15.5536419648791</v>
      </c>
      <c r="B119" s="1" t="s">
        <v>3</v>
      </c>
      <c r="C119" s="1">
        <v>0.114766997442943</v>
      </c>
      <c r="D119" s="1">
        <v>2927.84908</v>
      </c>
      <c r="E119" s="1">
        <v>35.116430000000001</v>
      </c>
      <c r="F119" s="1">
        <v>4.86273</v>
      </c>
      <c r="G119" s="1">
        <v>0.26093</v>
      </c>
      <c r="H119" s="1">
        <v>1.1576242578679601</v>
      </c>
      <c r="I119" s="1">
        <v>-0.51985000000000003</v>
      </c>
      <c r="J119" s="1">
        <v>402679673863</v>
      </c>
      <c r="K119" s="1">
        <v>-1606918973738</v>
      </c>
      <c r="L119" s="1">
        <v>3091133957757</v>
      </c>
      <c r="M119" s="1">
        <v>300295462452</v>
      </c>
      <c r="N119" s="1">
        <v>3817860941246</v>
      </c>
      <c r="O119" s="1">
        <v>-512961280383</v>
      </c>
      <c r="P119" s="1">
        <v>1085496026634</v>
      </c>
      <c r="Q119" s="1">
        <v>567327411955</v>
      </c>
      <c r="R119" s="1">
        <v>2174246385693</v>
      </c>
      <c r="S119" s="1">
        <v>378503157569</v>
      </c>
      <c r="T119" s="1">
        <v>-1.7403299999999999</v>
      </c>
      <c r="U119">
        <f t="shared" si="7"/>
        <v>0.42566808869883588</v>
      </c>
      <c r="V119">
        <f t="shared" si="8"/>
        <v>-1.5505625717217508</v>
      </c>
      <c r="W119">
        <f t="shared" si="9"/>
        <v>-0.38659091437885357</v>
      </c>
      <c r="X119">
        <f t="shared" si="10"/>
        <v>1</v>
      </c>
      <c r="Y119">
        <f t="shared" si="11"/>
        <v>0</v>
      </c>
      <c r="Z119">
        <f t="shared" si="12"/>
        <v>1</v>
      </c>
      <c r="AA119">
        <f t="shared" si="13"/>
        <v>1</v>
      </c>
    </row>
    <row r="120" spans="1:27" x14ac:dyDescent="0.35">
      <c r="A120" s="1">
        <v>-30.559213518186102</v>
      </c>
      <c r="B120" s="1" t="s">
        <v>3</v>
      </c>
      <c r="C120" s="1">
        <v>-0.38776510944721798</v>
      </c>
      <c r="D120" s="1" t="s">
        <v>3</v>
      </c>
      <c r="E120" s="1">
        <v>35.446570000000001</v>
      </c>
      <c r="F120" s="1">
        <v>-15.849909999999999</v>
      </c>
      <c r="G120" s="1">
        <v>0.16386000000000001</v>
      </c>
      <c r="H120" s="1">
        <v>1.426091742318</v>
      </c>
      <c r="I120" s="1">
        <v>-0.82477999999999996</v>
      </c>
      <c r="J120" s="1">
        <v>-125180831279</v>
      </c>
      <c r="K120" s="1">
        <v>-2346545266810</v>
      </c>
      <c r="L120" s="1">
        <v>2845045212353</v>
      </c>
      <c r="M120" s="1">
        <v>-1067069354297</v>
      </c>
      <c r="N120" s="1">
        <v>4232768047707</v>
      </c>
      <c r="O120" s="1">
        <v>-907024833708</v>
      </c>
      <c r="P120" s="1">
        <v>1008470809909</v>
      </c>
      <c r="Q120" s="1">
        <v>459842437838</v>
      </c>
      <c r="R120" s="1">
        <v>2806387704648</v>
      </c>
      <c r="S120" s="1">
        <v>-1150921582798</v>
      </c>
      <c r="T120" s="1">
        <v>-2.1954899999999999</v>
      </c>
      <c r="U120">
        <f t="shared" si="7"/>
        <v>-1.7472940524870246</v>
      </c>
      <c r="V120">
        <f t="shared" si="8"/>
        <v>-0.84425172850273233</v>
      </c>
      <c r="W120">
        <f t="shared" si="9"/>
        <v>-2.6860316824265387</v>
      </c>
      <c r="X120">
        <f t="shared" si="10"/>
        <v>1</v>
      </c>
      <c r="Y120">
        <f t="shared" si="11"/>
        <v>0</v>
      </c>
      <c r="Z120">
        <f t="shared" si="12"/>
        <v>1</v>
      </c>
      <c r="AA120">
        <f t="shared" si="13"/>
        <v>1</v>
      </c>
    </row>
    <row r="121" spans="1:27" x14ac:dyDescent="0.35">
      <c r="A121" s="1">
        <v>-5.7664087518488101</v>
      </c>
      <c r="B121" s="1" t="s">
        <v>3</v>
      </c>
      <c r="C121" s="1">
        <v>4.1751697793999998E-5</v>
      </c>
      <c r="D121" s="1">
        <v>218.86523</v>
      </c>
      <c r="E121" s="1">
        <v>16.929749999999999</v>
      </c>
      <c r="F121" s="1">
        <v>1.89E-3</v>
      </c>
      <c r="G121" s="1">
        <v>0.47123999999999999</v>
      </c>
      <c r="H121" s="1">
        <v>2.4582846841724102</v>
      </c>
      <c r="I121" s="1">
        <v>-0.40616999999999998</v>
      </c>
      <c r="J121" s="1">
        <v>-972470949252</v>
      </c>
      <c r="K121" s="1">
        <v>-1061348400801</v>
      </c>
      <c r="L121">
        <v>2613070074932</v>
      </c>
      <c r="M121">
        <v>-61806971146</v>
      </c>
      <c r="N121">
        <v>6708800607590</v>
      </c>
      <c r="O121" s="1">
        <v>-157368618806</v>
      </c>
      <c r="P121" s="1">
        <v>442386297887</v>
      </c>
      <c r="Q121">
        <v>945905221392</v>
      </c>
      <c r="R121">
        <v>2007253622193</v>
      </c>
      <c r="S121">
        <v>113942790</v>
      </c>
      <c r="T121">
        <v>-2.42204</v>
      </c>
      <c r="U121">
        <f t="shared" si="7"/>
        <v>0.58841775672248742</v>
      </c>
      <c r="V121">
        <f t="shared" si="8"/>
        <v>-3.0621127030763904</v>
      </c>
      <c r="W121">
        <f t="shared" si="9"/>
        <v>-0.61399421281727917</v>
      </c>
      <c r="X121">
        <f t="shared" si="10"/>
        <v>1</v>
      </c>
      <c r="Y121">
        <f t="shared" si="11"/>
        <v>0</v>
      </c>
      <c r="Z121">
        <f t="shared" si="12"/>
        <v>1</v>
      </c>
      <c r="AA121">
        <f t="shared" si="13"/>
        <v>1</v>
      </c>
    </row>
    <row r="122" spans="1:27" x14ac:dyDescent="0.35">
      <c r="A122" s="1">
        <v>-63.370623414728399</v>
      </c>
      <c r="B122" s="1" t="s">
        <v>3</v>
      </c>
      <c r="C122" s="1">
        <v>-0.644857322135163</v>
      </c>
      <c r="D122" s="1" t="s">
        <v>3</v>
      </c>
      <c r="E122" s="1">
        <v>89.622069999999994</v>
      </c>
      <c r="F122" s="1">
        <v>-10.538209999999999</v>
      </c>
      <c r="G122" s="1">
        <v>3.483E-2</v>
      </c>
      <c r="H122" s="1">
        <v>0.37061193327340303</v>
      </c>
      <c r="I122" s="1">
        <v>-0.78685000000000005</v>
      </c>
      <c r="J122" s="1">
        <v>109997328596</v>
      </c>
      <c r="K122" s="1">
        <v>-4784470304275</v>
      </c>
      <c r="L122">
        <v>6080516085752</v>
      </c>
      <c r="M122">
        <v>-3069607805197</v>
      </c>
      <c r="N122">
        <v>1610973387045</v>
      </c>
      <c r="O122" s="1">
        <v>-2754589873561</v>
      </c>
      <c r="P122" s="1">
        <v>5449484527011</v>
      </c>
      <c r="Q122">
        <v>172660668664</v>
      </c>
      <c r="R122">
        <v>4957130972939</v>
      </c>
      <c r="S122">
        <v>-2803061345665</v>
      </c>
      <c r="T122">
        <v>-1.5216499999999999</v>
      </c>
      <c r="U122">
        <f t="shared" si="7"/>
        <v>-2.5284158689188061</v>
      </c>
      <c r="V122">
        <f t="shared" si="8"/>
        <v>2.8471833604635366</v>
      </c>
      <c r="W122">
        <f t="shared" si="9"/>
        <v>-2.8177675385045147</v>
      </c>
      <c r="X122">
        <f t="shared" si="10"/>
        <v>1</v>
      </c>
      <c r="Y122">
        <f t="shared" si="11"/>
        <v>1</v>
      </c>
      <c r="Z122">
        <f t="shared" si="12"/>
        <v>1</v>
      </c>
      <c r="AA122">
        <f t="shared" si="13"/>
        <v>1</v>
      </c>
    </row>
    <row r="123" spans="1:27" x14ac:dyDescent="0.35">
      <c r="A123" s="1">
        <v>-41.771603355332601</v>
      </c>
      <c r="B123" s="1" t="s">
        <v>3</v>
      </c>
      <c r="C123" s="1">
        <v>-0.29855866055755798</v>
      </c>
      <c r="D123" s="1" t="s">
        <v>3</v>
      </c>
      <c r="E123" s="1">
        <v>111.56251</v>
      </c>
      <c r="F123" s="1">
        <v>-6.4049800000000001</v>
      </c>
      <c r="G123" s="1">
        <v>2.5080000000000002E-2</v>
      </c>
      <c r="H123" s="1">
        <v>0.111491263535689</v>
      </c>
      <c r="I123" s="1">
        <v>-1.24996</v>
      </c>
      <c r="J123" s="1">
        <v>31699278032</v>
      </c>
      <c r="K123" s="1">
        <v>-6436187112352</v>
      </c>
      <c r="L123">
        <v>5149094524206</v>
      </c>
      <c r="M123">
        <v>-1938838760933</v>
      </c>
      <c r="N123">
        <v>626001737959</v>
      </c>
      <c r="O123" s="1">
        <v>-2345394201170</v>
      </c>
      <c r="P123" s="1">
        <v>5744459184382</v>
      </c>
      <c r="Q123">
        <v>165547101103</v>
      </c>
      <c r="R123">
        <v>6601734213455</v>
      </c>
      <c r="S123">
        <v>-1676348751146</v>
      </c>
      <c r="T123">
        <v>-2.2504900000000001</v>
      </c>
      <c r="U123">
        <f t="shared" si="7"/>
        <v>-2.4321415719708428</v>
      </c>
      <c r="V123">
        <f t="shared" si="8"/>
        <v>4.1088974350261092</v>
      </c>
      <c r="W123">
        <f t="shared" si="9"/>
        <v>-3.1209424740748544</v>
      </c>
      <c r="X123">
        <f t="shared" si="10"/>
        <v>1</v>
      </c>
      <c r="Y123">
        <f t="shared" si="11"/>
        <v>1</v>
      </c>
      <c r="Z123">
        <f t="shared" si="12"/>
        <v>1</v>
      </c>
      <c r="AA123">
        <f t="shared" si="13"/>
        <v>1</v>
      </c>
    </row>
    <row r="124" spans="1:27" x14ac:dyDescent="0.35">
      <c r="A124" s="1">
        <v>-31.352140690615698</v>
      </c>
      <c r="B124" s="1" t="s">
        <v>3</v>
      </c>
      <c r="C124" s="1">
        <v>-7.9397031733199994E-2</v>
      </c>
      <c r="D124" s="1" t="s">
        <v>3</v>
      </c>
      <c r="E124" s="1">
        <v>125.44023</v>
      </c>
      <c r="F124" s="1">
        <v>-1.2909900000000001</v>
      </c>
      <c r="G124" s="1">
        <v>3.8559999999999997E-2</v>
      </c>
      <c r="H124" s="1">
        <v>0.71968499160677102</v>
      </c>
      <c r="I124" s="1">
        <v>-1.33789</v>
      </c>
      <c r="J124" s="1">
        <v>196431735838</v>
      </c>
      <c r="K124" s="1">
        <v>-7167036016733</v>
      </c>
      <c r="L124">
        <v>5356962889162</v>
      </c>
      <c r="M124">
        <v>-1643423868491</v>
      </c>
      <c r="N124">
        <v>3780525920680</v>
      </c>
      <c r="O124" s="1">
        <v>-1646936950638</v>
      </c>
      <c r="P124" s="1">
        <v>6719786317555</v>
      </c>
      <c r="Q124">
        <v>287482120575</v>
      </c>
      <c r="R124">
        <v>7454518137308</v>
      </c>
      <c r="S124">
        <v>-417074886920</v>
      </c>
      <c r="T124">
        <v>-2.4697100000000001</v>
      </c>
      <c r="U124">
        <f t="shared" si="7"/>
        <v>-1.4802630820334195</v>
      </c>
      <c r="V124">
        <f t="shared" si="8"/>
        <v>4.2337206165038443</v>
      </c>
      <c r="W124">
        <f t="shared" si="9"/>
        <v>-2.4204641169805545</v>
      </c>
      <c r="X124">
        <f t="shared" si="10"/>
        <v>1</v>
      </c>
      <c r="Y124">
        <f t="shared" si="11"/>
        <v>1</v>
      </c>
      <c r="Z124">
        <f t="shared" si="12"/>
        <v>1</v>
      </c>
      <c r="AA124">
        <f t="shared" si="13"/>
        <v>1</v>
      </c>
    </row>
    <row r="125" spans="1:27" x14ac:dyDescent="0.35">
      <c r="A125" s="1">
        <v>-18.838864327283702</v>
      </c>
      <c r="B125" s="1" t="s">
        <v>3</v>
      </c>
      <c r="C125" s="1">
        <v>-0.141498133009508</v>
      </c>
      <c r="D125" s="1" t="s">
        <v>3</v>
      </c>
      <c r="E125" s="1">
        <v>128.04390000000001</v>
      </c>
      <c r="F125" s="1">
        <v>-2.3038099999999999</v>
      </c>
      <c r="G125" s="1">
        <v>3.8699999999999998E-2</v>
      </c>
      <c r="H125" s="1">
        <v>1.15491539329333</v>
      </c>
      <c r="I125" s="1">
        <v>-1.34823</v>
      </c>
      <c r="J125" s="1">
        <v>395470205852</v>
      </c>
      <c r="K125" s="1">
        <v>-8246183268035</v>
      </c>
      <c r="L125">
        <v>6116294571351</v>
      </c>
      <c r="M125">
        <v>-1064063337577</v>
      </c>
      <c r="N125">
        <v>6625320826182</v>
      </c>
      <c r="O125" s="1">
        <v>-1080715703452.9999</v>
      </c>
      <c r="P125" s="1">
        <v>7831542271878</v>
      </c>
      <c r="Q125">
        <v>332000477335</v>
      </c>
      <c r="R125">
        <v>8578183745370</v>
      </c>
      <c r="S125">
        <v>-811722255100</v>
      </c>
      <c r="T125">
        <v>-2.33989</v>
      </c>
      <c r="U125">
        <f t="shared" si="7"/>
        <v>-1.4446914939342193</v>
      </c>
      <c r="V125">
        <f t="shared" si="8"/>
        <v>3.7937825853182146</v>
      </c>
      <c r="W125">
        <f t="shared" si="9"/>
        <v>-2.6221705678514828</v>
      </c>
      <c r="X125">
        <f t="shared" si="10"/>
        <v>1</v>
      </c>
      <c r="Y125">
        <f t="shared" si="11"/>
        <v>1</v>
      </c>
      <c r="Z125">
        <f t="shared" si="12"/>
        <v>1</v>
      </c>
      <c r="AA125">
        <f t="shared" si="13"/>
        <v>1</v>
      </c>
    </row>
    <row r="126" spans="1:27" x14ac:dyDescent="0.35">
      <c r="A126" s="1">
        <v>-25.8012202911884</v>
      </c>
      <c r="B126" s="1" t="s">
        <v>3</v>
      </c>
      <c r="C126" s="1">
        <v>-8.7888023830339002E-2</v>
      </c>
      <c r="D126" s="1" t="s">
        <v>3</v>
      </c>
      <c r="E126" s="1">
        <v>141.24623</v>
      </c>
      <c r="F126" s="1">
        <v>-1.2643800000000001</v>
      </c>
      <c r="G126" s="1">
        <v>4.7489999999999997E-2</v>
      </c>
      <c r="H126" s="1">
        <v>1.34269050704127</v>
      </c>
      <c r="I126" s="1">
        <v>-1.5207299999999999</v>
      </c>
      <c r="J126" s="1">
        <v>890615322307</v>
      </c>
      <c r="K126" s="1">
        <v>-8693368401829</v>
      </c>
      <c r="L126">
        <v>5716560756692</v>
      </c>
      <c r="M126">
        <v>-1523194719330</v>
      </c>
      <c r="N126">
        <v>7943931260078</v>
      </c>
      <c r="O126" s="1">
        <v>-1526510534963</v>
      </c>
      <c r="P126" s="1">
        <v>8074426586225</v>
      </c>
      <c r="Q126">
        <v>433442304074</v>
      </c>
      <c r="R126">
        <v>9126810705903</v>
      </c>
      <c r="S126">
        <v>-519983135526</v>
      </c>
      <c r="T126">
        <v>-2.7707099999999998</v>
      </c>
      <c r="U126">
        <f t="shared" si="7"/>
        <v>-1.3999008526293011</v>
      </c>
      <c r="V126">
        <f t="shared" si="8"/>
        <v>4.952873737061311</v>
      </c>
      <c r="W126">
        <f t="shared" si="9"/>
        <v>-2.766114336013219</v>
      </c>
      <c r="X126">
        <f t="shared" si="10"/>
        <v>1</v>
      </c>
      <c r="Y126">
        <f t="shared" si="11"/>
        <v>1</v>
      </c>
      <c r="Z126">
        <f t="shared" si="12"/>
        <v>1</v>
      </c>
      <c r="AA126">
        <f t="shared" si="13"/>
        <v>1</v>
      </c>
    </row>
    <row r="127" spans="1:27" x14ac:dyDescent="0.35">
      <c r="A127" s="1" t="s">
        <v>3</v>
      </c>
      <c r="B127" s="1" t="s">
        <v>3</v>
      </c>
      <c r="C127" s="1" t="s">
        <v>3</v>
      </c>
      <c r="D127" s="1" t="s">
        <v>3</v>
      </c>
      <c r="E127" s="1" t="s">
        <v>3</v>
      </c>
      <c r="F127" s="1" t="s">
        <v>3</v>
      </c>
      <c r="G127" s="1" t="s">
        <v>3</v>
      </c>
      <c r="H127" s="1" t="s">
        <v>3</v>
      </c>
      <c r="I127" s="1" t="s">
        <v>3</v>
      </c>
      <c r="J127" s="1" t="s">
        <v>3</v>
      </c>
      <c r="K127" s="1" t="s">
        <v>3</v>
      </c>
      <c r="L127" s="1" t="s">
        <v>3</v>
      </c>
      <c r="M127" s="1" t="s">
        <v>3</v>
      </c>
      <c r="N127" s="1" t="s">
        <v>3</v>
      </c>
      <c r="O127" s="1" t="s">
        <v>3</v>
      </c>
      <c r="P127" s="1" t="s">
        <v>3</v>
      </c>
      <c r="Q127" s="1" t="s">
        <v>3</v>
      </c>
      <c r="R127" s="1" t="s">
        <v>3</v>
      </c>
      <c r="S127" s="1" t="s">
        <v>3</v>
      </c>
      <c r="T127" s="1" t="s">
        <v>3</v>
      </c>
      <c r="U127" t="e">
        <f t="shared" si="7"/>
        <v>#VALUE!</v>
      </c>
      <c r="V127" t="e">
        <f t="shared" si="8"/>
        <v>#VALUE!</v>
      </c>
      <c r="W127" t="e">
        <f t="shared" si="9"/>
        <v>#VALUE!</v>
      </c>
      <c r="X127" t="e">
        <f t="shared" si="10"/>
        <v>#VALUE!</v>
      </c>
      <c r="Y127" t="e">
        <f t="shared" si="11"/>
        <v>#VALUE!</v>
      </c>
      <c r="Z127" t="e">
        <f t="shared" si="12"/>
        <v>#VALUE!</v>
      </c>
      <c r="AA127" t="e">
        <f t="shared" si="13"/>
        <v>#VALUE!</v>
      </c>
    </row>
    <row r="128" spans="1:27" x14ac:dyDescent="0.35">
      <c r="A128" s="1" t="s">
        <v>3</v>
      </c>
      <c r="B128" s="1" t="s">
        <v>3</v>
      </c>
      <c r="C128" s="1" t="s">
        <v>3</v>
      </c>
      <c r="D128" s="1" t="s">
        <v>3</v>
      </c>
      <c r="E128" s="1" t="s">
        <v>3</v>
      </c>
      <c r="F128" s="1" t="s">
        <v>3</v>
      </c>
      <c r="G128" s="1" t="s">
        <v>3</v>
      </c>
      <c r="H128" s="1" t="s">
        <v>3</v>
      </c>
      <c r="I128" s="1" t="s">
        <v>3</v>
      </c>
      <c r="J128" s="1" t="s">
        <v>3</v>
      </c>
      <c r="K128" s="1" t="s">
        <v>3</v>
      </c>
      <c r="L128" s="1" t="s">
        <v>3</v>
      </c>
      <c r="M128" s="1" t="s">
        <v>3</v>
      </c>
      <c r="N128" s="1" t="s">
        <v>3</v>
      </c>
      <c r="O128" s="1" t="s">
        <v>3</v>
      </c>
      <c r="P128" s="1" t="s">
        <v>3</v>
      </c>
      <c r="Q128" s="1" t="s">
        <v>3</v>
      </c>
      <c r="R128" s="1" t="s">
        <v>3</v>
      </c>
      <c r="S128" s="1" t="s">
        <v>3</v>
      </c>
      <c r="T128" s="1" t="s">
        <v>3</v>
      </c>
      <c r="U128" t="e">
        <f t="shared" si="7"/>
        <v>#VALUE!</v>
      </c>
      <c r="V128" t="e">
        <f t="shared" si="8"/>
        <v>#VALUE!</v>
      </c>
      <c r="W128" t="e">
        <f t="shared" si="9"/>
        <v>#VALUE!</v>
      </c>
      <c r="X128" t="e">
        <f t="shared" si="10"/>
        <v>#VALUE!</v>
      </c>
      <c r="Y128" t="e">
        <f t="shared" si="11"/>
        <v>#VALUE!</v>
      </c>
      <c r="Z128" t="e">
        <f t="shared" si="12"/>
        <v>#VALUE!</v>
      </c>
      <c r="AA128" t="e">
        <f t="shared" si="13"/>
        <v>#VALUE!</v>
      </c>
    </row>
    <row r="129" spans="1:27" x14ac:dyDescent="0.35">
      <c r="A129" s="1" t="s">
        <v>3</v>
      </c>
      <c r="B129" s="1" t="s">
        <v>3</v>
      </c>
      <c r="C129" s="1" t="s">
        <v>3</v>
      </c>
      <c r="D129" s="1" t="s">
        <v>3</v>
      </c>
      <c r="E129" s="1" t="s">
        <v>3</v>
      </c>
      <c r="F129" s="1" t="s">
        <v>3</v>
      </c>
      <c r="G129" s="1" t="s">
        <v>3</v>
      </c>
      <c r="H129" s="1" t="s">
        <v>3</v>
      </c>
      <c r="I129" s="1" t="s">
        <v>3</v>
      </c>
      <c r="J129" s="1" t="s">
        <v>3</v>
      </c>
      <c r="K129" s="1" t="s">
        <v>3</v>
      </c>
      <c r="L129" s="1" t="s">
        <v>3</v>
      </c>
      <c r="M129" s="1" t="s">
        <v>3</v>
      </c>
      <c r="N129" s="1" t="s">
        <v>3</v>
      </c>
      <c r="O129" s="1" t="s">
        <v>3</v>
      </c>
      <c r="P129" s="1" t="s">
        <v>3</v>
      </c>
      <c r="Q129" s="1" t="s">
        <v>3</v>
      </c>
      <c r="R129" s="1" t="s">
        <v>3</v>
      </c>
      <c r="S129" s="1" t="s">
        <v>3</v>
      </c>
      <c r="T129" s="1" t="s">
        <v>3</v>
      </c>
      <c r="U129" t="e">
        <f t="shared" si="7"/>
        <v>#VALUE!</v>
      </c>
      <c r="V129" t="e">
        <f t="shared" si="8"/>
        <v>#VALUE!</v>
      </c>
      <c r="W129" t="e">
        <f t="shared" si="9"/>
        <v>#VALUE!</v>
      </c>
      <c r="X129" t="e">
        <f t="shared" si="10"/>
        <v>#VALUE!</v>
      </c>
      <c r="Y129" t="e">
        <f t="shared" si="11"/>
        <v>#VALUE!</v>
      </c>
      <c r="Z129" t="e">
        <f t="shared" si="12"/>
        <v>#VALUE!</v>
      </c>
      <c r="AA129" t="e">
        <f t="shared" si="13"/>
        <v>#VALUE!</v>
      </c>
    </row>
    <row r="130" spans="1:27" x14ac:dyDescent="0.35">
      <c r="A130" s="1" t="s">
        <v>3</v>
      </c>
      <c r="B130" s="1" t="s">
        <v>3</v>
      </c>
      <c r="C130" s="1" t="s">
        <v>3</v>
      </c>
      <c r="D130" s="1" t="s">
        <v>3</v>
      </c>
      <c r="E130" s="1" t="s">
        <v>3</v>
      </c>
      <c r="F130" s="1" t="s">
        <v>3</v>
      </c>
      <c r="G130" s="1" t="s">
        <v>3</v>
      </c>
      <c r="H130" s="1" t="s">
        <v>3</v>
      </c>
      <c r="I130" s="1" t="s">
        <v>3</v>
      </c>
      <c r="J130" s="1" t="s">
        <v>3</v>
      </c>
      <c r="K130" s="1" t="s">
        <v>3</v>
      </c>
      <c r="L130" s="1" t="s">
        <v>3</v>
      </c>
      <c r="M130" s="1" t="s">
        <v>3</v>
      </c>
      <c r="N130" s="1" t="s">
        <v>3</v>
      </c>
      <c r="O130" s="1" t="s">
        <v>3</v>
      </c>
      <c r="P130" s="1" t="s">
        <v>3</v>
      </c>
      <c r="Q130" s="1" t="s">
        <v>3</v>
      </c>
      <c r="R130" s="1" t="s">
        <v>3</v>
      </c>
      <c r="S130" s="1" t="s">
        <v>3</v>
      </c>
      <c r="T130" s="1" t="s">
        <v>3</v>
      </c>
      <c r="U130" t="e">
        <f t="shared" ref="U130:U193" si="14">1.03*(K130/L130) + 3.07*(S130/L130) + 0.66*(M130/R130) +0.4*(N130/L130)</f>
        <v>#VALUE!</v>
      </c>
      <c r="V130" t="e">
        <f t="shared" ref="V130:V193" si="15">-4.3-4.5*(O130/L130)+5.7*(P130/L130)+0.004*(Q130/R130)</f>
        <v>#VALUE!</v>
      </c>
      <c r="W130" t="e">
        <f t="shared" ref="W130:W193" si="16">0.057+1.65*(K130/L130)+3.404*(S130/L130)+0.016*(O130/L130)</f>
        <v>#VALUE!</v>
      </c>
      <c r="X130" t="e">
        <f t="shared" si="10"/>
        <v>#VALUE!</v>
      </c>
      <c r="Y130" t="e">
        <f t="shared" si="11"/>
        <v>#VALUE!</v>
      </c>
      <c r="Z130" t="e">
        <f t="shared" si="12"/>
        <v>#VALUE!</v>
      </c>
      <c r="AA130" t="e">
        <f t="shared" si="13"/>
        <v>#VALUE!</v>
      </c>
    </row>
    <row r="131" spans="1:27" x14ac:dyDescent="0.35">
      <c r="A131" s="1" t="s">
        <v>3</v>
      </c>
      <c r="B131" s="1" t="s">
        <v>3</v>
      </c>
      <c r="C131" s="1" t="s">
        <v>3</v>
      </c>
      <c r="D131" s="1" t="s">
        <v>3</v>
      </c>
      <c r="E131" s="1" t="s">
        <v>3</v>
      </c>
      <c r="F131" s="1" t="s">
        <v>3</v>
      </c>
      <c r="G131" s="1" t="s">
        <v>3</v>
      </c>
      <c r="H131" s="1" t="s">
        <v>3</v>
      </c>
      <c r="I131" s="1" t="s">
        <v>3</v>
      </c>
      <c r="J131" s="1" t="s">
        <v>3</v>
      </c>
      <c r="K131" s="1" t="s">
        <v>3</v>
      </c>
      <c r="L131" s="1" t="s">
        <v>3</v>
      </c>
      <c r="M131" s="1" t="s">
        <v>3</v>
      </c>
      <c r="N131" s="1" t="s">
        <v>3</v>
      </c>
      <c r="O131" s="1" t="s">
        <v>3</v>
      </c>
      <c r="P131" s="1" t="s">
        <v>3</v>
      </c>
      <c r="Q131" s="1" t="s">
        <v>3</v>
      </c>
      <c r="R131" s="1" t="s">
        <v>3</v>
      </c>
      <c r="S131" s="1" t="s">
        <v>3</v>
      </c>
      <c r="T131" s="1" t="s">
        <v>3</v>
      </c>
      <c r="U131" t="e">
        <f t="shared" si="14"/>
        <v>#VALUE!</v>
      </c>
      <c r="V131" t="e">
        <f t="shared" si="15"/>
        <v>#VALUE!</v>
      </c>
      <c r="W131" t="e">
        <f t="shared" si="16"/>
        <v>#VALUE!</v>
      </c>
      <c r="X131" t="e">
        <f t="shared" ref="X131:X194" si="17">IF(U131&gt;=0.862,0,1)</f>
        <v>#VALUE!</v>
      </c>
      <c r="Y131" t="e">
        <f t="shared" ref="Y131:Y194" si="18">IF(V131&lt;=0,0,1)</f>
        <v>#VALUE!</v>
      </c>
      <c r="Z131" t="e">
        <f t="shared" ref="Z131:Z194" si="19">IF(W131&gt;=0.01,0,1)</f>
        <v>#VALUE!</v>
      </c>
      <c r="AA131" t="e">
        <f t="shared" ref="AA131:AA194" si="20">IF(SUM(X131:Z131)&gt;=2,1,0)</f>
        <v>#VALUE!</v>
      </c>
    </row>
    <row r="132" spans="1:27" x14ac:dyDescent="0.35">
      <c r="A132" s="1" t="s">
        <v>3</v>
      </c>
      <c r="B132" s="1" t="s">
        <v>3</v>
      </c>
      <c r="C132" s="1" t="s">
        <v>3</v>
      </c>
      <c r="D132" s="1" t="s">
        <v>3</v>
      </c>
      <c r="E132" s="1" t="s">
        <v>3</v>
      </c>
      <c r="F132" s="1" t="s">
        <v>3</v>
      </c>
      <c r="G132" s="1" t="s">
        <v>3</v>
      </c>
      <c r="H132" s="1" t="s">
        <v>3</v>
      </c>
      <c r="I132" s="1" t="s">
        <v>3</v>
      </c>
      <c r="J132" s="1" t="s">
        <v>3</v>
      </c>
      <c r="K132" s="1" t="s">
        <v>3</v>
      </c>
      <c r="L132" s="1" t="s">
        <v>3</v>
      </c>
      <c r="M132" s="1" t="s">
        <v>3</v>
      </c>
      <c r="N132" s="1" t="s">
        <v>3</v>
      </c>
      <c r="O132" s="1" t="s">
        <v>3</v>
      </c>
      <c r="P132" s="1" t="s">
        <v>3</v>
      </c>
      <c r="Q132" s="1" t="s">
        <v>3</v>
      </c>
      <c r="R132" s="1" t="s">
        <v>3</v>
      </c>
      <c r="S132" s="1" t="s">
        <v>3</v>
      </c>
      <c r="T132" s="1" t="s">
        <v>3</v>
      </c>
      <c r="U132" t="e">
        <f t="shared" si="14"/>
        <v>#VALUE!</v>
      </c>
      <c r="V132" t="e">
        <f t="shared" si="15"/>
        <v>#VALUE!</v>
      </c>
      <c r="W132" t="e">
        <f t="shared" si="16"/>
        <v>#VALUE!</v>
      </c>
      <c r="X132" t="e">
        <f t="shared" si="17"/>
        <v>#VALUE!</v>
      </c>
      <c r="Y132" t="e">
        <f t="shared" si="18"/>
        <v>#VALUE!</v>
      </c>
      <c r="Z132" t="e">
        <f t="shared" si="19"/>
        <v>#VALUE!</v>
      </c>
      <c r="AA132" t="e">
        <f t="shared" si="20"/>
        <v>#VALUE!</v>
      </c>
    </row>
    <row r="133" spans="1:27" x14ac:dyDescent="0.35">
      <c r="A133" s="1" t="s">
        <v>3</v>
      </c>
      <c r="B133" s="1" t="s">
        <v>3</v>
      </c>
      <c r="C133" s="1" t="s">
        <v>3</v>
      </c>
      <c r="D133" s="1" t="s">
        <v>3</v>
      </c>
      <c r="E133" s="1" t="s">
        <v>3</v>
      </c>
      <c r="F133" s="1" t="s">
        <v>3</v>
      </c>
      <c r="G133" s="1" t="s">
        <v>3</v>
      </c>
      <c r="H133" s="1" t="s">
        <v>3</v>
      </c>
      <c r="I133" s="1" t="s">
        <v>3</v>
      </c>
      <c r="J133" s="1" t="s">
        <v>3</v>
      </c>
      <c r="K133" s="1" t="s">
        <v>3</v>
      </c>
      <c r="L133" s="1" t="s">
        <v>3</v>
      </c>
      <c r="M133" s="1" t="s">
        <v>3</v>
      </c>
      <c r="N133" s="1" t="s">
        <v>3</v>
      </c>
      <c r="O133" s="1" t="s">
        <v>3</v>
      </c>
      <c r="P133" s="1" t="s">
        <v>3</v>
      </c>
      <c r="Q133" s="1" t="s">
        <v>3</v>
      </c>
      <c r="R133" s="1" t="s">
        <v>3</v>
      </c>
      <c r="S133" s="1" t="s">
        <v>3</v>
      </c>
      <c r="T133" s="1" t="s">
        <v>3</v>
      </c>
      <c r="U133" t="e">
        <f t="shared" si="14"/>
        <v>#VALUE!</v>
      </c>
      <c r="V133" t="e">
        <f t="shared" si="15"/>
        <v>#VALUE!</v>
      </c>
      <c r="W133" t="e">
        <f t="shared" si="16"/>
        <v>#VALUE!</v>
      </c>
      <c r="X133" t="e">
        <f t="shared" si="17"/>
        <v>#VALUE!</v>
      </c>
      <c r="Y133" t="e">
        <f t="shared" si="18"/>
        <v>#VALUE!</v>
      </c>
      <c r="Z133" t="e">
        <f t="shared" si="19"/>
        <v>#VALUE!</v>
      </c>
      <c r="AA133" t="e">
        <f t="shared" si="20"/>
        <v>#VALUE!</v>
      </c>
    </row>
    <row r="134" spans="1:27" x14ac:dyDescent="0.35">
      <c r="A134" s="1" t="s">
        <v>3</v>
      </c>
      <c r="B134" s="1" t="s">
        <v>3</v>
      </c>
      <c r="C134" s="1" t="s">
        <v>3</v>
      </c>
      <c r="D134" s="1" t="s">
        <v>3</v>
      </c>
      <c r="E134" s="1" t="s">
        <v>3</v>
      </c>
      <c r="F134" s="1" t="s">
        <v>3</v>
      </c>
      <c r="G134" s="1" t="s">
        <v>3</v>
      </c>
      <c r="H134" s="1" t="s">
        <v>3</v>
      </c>
      <c r="I134" s="1" t="s">
        <v>3</v>
      </c>
      <c r="J134" s="1" t="s">
        <v>3</v>
      </c>
      <c r="K134" s="1" t="s">
        <v>3</v>
      </c>
      <c r="L134" s="1" t="s">
        <v>3</v>
      </c>
      <c r="M134" s="1" t="s">
        <v>3</v>
      </c>
      <c r="N134" s="1" t="s">
        <v>3</v>
      </c>
      <c r="O134" s="1" t="s">
        <v>3</v>
      </c>
      <c r="P134" s="1" t="s">
        <v>3</v>
      </c>
      <c r="Q134" s="1" t="s">
        <v>3</v>
      </c>
      <c r="R134" s="1" t="s">
        <v>3</v>
      </c>
      <c r="S134" s="1" t="s">
        <v>3</v>
      </c>
      <c r="T134" s="1" t="s">
        <v>3</v>
      </c>
      <c r="U134" t="e">
        <f t="shared" si="14"/>
        <v>#VALUE!</v>
      </c>
      <c r="V134" t="e">
        <f t="shared" si="15"/>
        <v>#VALUE!</v>
      </c>
      <c r="W134" t="e">
        <f t="shared" si="16"/>
        <v>#VALUE!</v>
      </c>
      <c r="X134" t="e">
        <f t="shared" si="17"/>
        <v>#VALUE!</v>
      </c>
      <c r="Y134" t="e">
        <f t="shared" si="18"/>
        <v>#VALUE!</v>
      </c>
      <c r="Z134" t="e">
        <f t="shared" si="19"/>
        <v>#VALUE!</v>
      </c>
      <c r="AA134" t="e">
        <f t="shared" si="20"/>
        <v>#VALUE!</v>
      </c>
    </row>
    <row r="135" spans="1:27" x14ac:dyDescent="0.35">
      <c r="A135" s="1" t="s">
        <v>3</v>
      </c>
      <c r="B135" s="1" t="s">
        <v>3</v>
      </c>
      <c r="C135" s="1" t="s">
        <v>3</v>
      </c>
      <c r="D135" s="1">
        <v>54.099290000000003</v>
      </c>
      <c r="E135" s="1">
        <v>30.052879999999998</v>
      </c>
      <c r="F135" s="1">
        <v>135.15491</v>
      </c>
      <c r="G135" s="1">
        <v>1.7283500000000001</v>
      </c>
      <c r="H135" s="1" t="s">
        <v>3</v>
      </c>
      <c r="I135" s="1">
        <v>0.16585</v>
      </c>
      <c r="J135" s="1">
        <v>855500604162</v>
      </c>
      <c r="K135" s="1">
        <v>1340297271581</v>
      </c>
      <c r="L135" s="1">
        <v>8081457784528</v>
      </c>
      <c r="M135" s="1">
        <v>412118109903</v>
      </c>
      <c r="N135" s="1">
        <v>1350581042477</v>
      </c>
      <c r="O135" s="1">
        <v>344216821296</v>
      </c>
      <c r="P135" s="1">
        <v>2428710897466</v>
      </c>
      <c r="Q135" s="1">
        <v>3180482275635</v>
      </c>
      <c r="R135" s="1">
        <v>1840185004054</v>
      </c>
      <c r="S135" s="1">
        <v>369057739339</v>
      </c>
      <c r="T135" s="1">
        <v>3.2849999999999997E-2</v>
      </c>
      <c r="U135">
        <f t="shared" si="14"/>
        <v>0.52568078239646143</v>
      </c>
      <c r="V135">
        <f t="shared" si="15"/>
        <v>-2.7717427135873329</v>
      </c>
      <c r="W135">
        <f t="shared" si="16"/>
        <v>0.48678267096920796</v>
      </c>
      <c r="X135">
        <f t="shared" si="17"/>
        <v>1</v>
      </c>
      <c r="Y135">
        <f t="shared" si="18"/>
        <v>0</v>
      </c>
      <c r="Z135">
        <f t="shared" si="19"/>
        <v>0</v>
      </c>
      <c r="AA135">
        <f t="shared" si="20"/>
        <v>0</v>
      </c>
    </row>
    <row r="136" spans="1:27" x14ac:dyDescent="0.35">
      <c r="A136" s="1">
        <v>11.951701675634499</v>
      </c>
      <c r="B136" s="1">
        <v>18.986183748207399</v>
      </c>
      <c r="C136" s="1">
        <v>0.116970424770332</v>
      </c>
      <c r="D136" s="1">
        <v>23.921050000000001</v>
      </c>
      <c r="E136" s="1">
        <v>16.931339999999999</v>
      </c>
      <c r="F136" s="1">
        <v>250.96226999999999</v>
      </c>
      <c r="G136" s="1">
        <v>2.4919600000000002</v>
      </c>
      <c r="H136" s="1">
        <v>0.23187287473186899</v>
      </c>
      <c r="I136" s="1">
        <v>0.24786</v>
      </c>
      <c r="J136" s="1">
        <v>1092632944854</v>
      </c>
      <c r="K136" s="1">
        <v>1901815440365</v>
      </c>
      <c r="L136" s="1">
        <v>7672793109356</v>
      </c>
      <c r="M136" s="1">
        <v>1036735183954</v>
      </c>
      <c r="N136" s="1">
        <v>1826491722006</v>
      </c>
      <c r="O136" s="1">
        <v>941450534034</v>
      </c>
      <c r="P136" s="1">
        <v>1299106469048</v>
      </c>
      <c r="Q136" s="1">
        <v>3176522173297</v>
      </c>
      <c r="R136" s="1">
        <v>1274706732932</v>
      </c>
      <c r="S136" s="1">
        <v>921390709498</v>
      </c>
      <c r="T136" s="1">
        <v>0.15728</v>
      </c>
      <c r="U136">
        <f t="shared" si="14"/>
        <v>1.2559685662159104</v>
      </c>
      <c r="V136">
        <f t="shared" si="15"/>
        <v>-3.8770952384429154</v>
      </c>
      <c r="W136">
        <f t="shared" si="16"/>
        <v>0.87671096713252572</v>
      </c>
      <c r="X136">
        <f t="shared" si="17"/>
        <v>0</v>
      </c>
      <c r="Y136">
        <f t="shared" si="18"/>
        <v>0</v>
      </c>
      <c r="Z136">
        <f t="shared" si="19"/>
        <v>0</v>
      </c>
      <c r="AA136">
        <f t="shared" si="20"/>
        <v>0</v>
      </c>
    </row>
    <row r="137" spans="1:27" x14ac:dyDescent="0.35">
      <c r="A137" s="1">
        <v>12.6288479324127</v>
      </c>
      <c r="B137" s="1">
        <v>16.3117384133107</v>
      </c>
      <c r="C137" s="1">
        <v>0.131207938550609</v>
      </c>
      <c r="D137" s="1">
        <v>9.2782999999999998</v>
      </c>
      <c r="E137" s="1">
        <v>7.8047500000000003</v>
      </c>
      <c r="F137" s="1">
        <v>247.45160999999999</v>
      </c>
      <c r="G137" s="1">
        <v>4.0325600000000001</v>
      </c>
      <c r="H137" s="1">
        <v>0.201399836020241</v>
      </c>
      <c r="I137" s="1">
        <v>0.36269000000000001</v>
      </c>
      <c r="J137" s="1">
        <v>781334368017</v>
      </c>
      <c r="K137" s="1">
        <v>2757482605596</v>
      </c>
      <c r="L137" s="1">
        <v>7602826934708</v>
      </c>
      <c r="M137" s="1">
        <v>1047398728562</v>
      </c>
      <c r="N137" s="1">
        <v>1538253685991</v>
      </c>
      <c r="O137" s="1">
        <v>964567413049</v>
      </c>
      <c r="P137" s="1">
        <v>593381907212</v>
      </c>
      <c r="Q137" s="1">
        <v>3666775152025</v>
      </c>
      <c r="R137" s="1">
        <v>909292546429</v>
      </c>
      <c r="S137" s="1">
        <v>1002141308032</v>
      </c>
      <c r="T137" s="1">
        <v>0.28553000000000001</v>
      </c>
      <c r="U137">
        <f t="shared" si="14"/>
        <v>1.6194077977586439</v>
      </c>
      <c r="V137">
        <f t="shared" si="15"/>
        <v>-4.409911895289981</v>
      </c>
      <c r="W137">
        <f t="shared" si="16"/>
        <v>1.1061582221829789</v>
      </c>
      <c r="X137">
        <f t="shared" si="17"/>
        <v>0</v>
      </c>
      <c r="Y137">
        <f t="shared" si="18"/>
        <v>0</v>
      </c>
      <c r="Z137">
        <f t="shared" si="19"/>
        <v>0</v>
      </c>
      <c r="AA137">
        <f t="shared" si="20"/>
        <v>0</v>
      </c>
    </row>
    <row r="138" spans="1:27" x14ac:dyDescent="0.35">
      <c r="A138" s="1">
        <v>17.5299525700968</v>
      </c>
      <c r="B138" s="1">
        <v>20.1906068918579</v>
      </c>
      <c r="C138" s="1">
        <v>0.16622027899167199</v>
      </c>
      <c r="D138" s="1">
        <v>0</v>
      </c>
      <c r="E138" s="1">
        <v>0</v>
      </c>
      <c r="F138" s="1">
        <v>888.79571999999996</v>
      </c>
      <c r="G138" s="1">
        <v>5.4198199999999996</v>
      </c>
      <c r="H138" s="1">
        <v>0.29287142091551699</v>
      </c>
      <c r="I138" s="1">
        <v>0.45780999999999999</v>
      </c>
      <c r="J138" s="1">
        <v>973966007108</v>
      </c>
      <c r="K138" s="1">
        <v>3665779459976</v>
      </c>
      <c r="L138" s="1">
        <v>8007121008539</v>
      </c>
      <c r="M138" s="1">
        <v>1495016209387</v>
      </c>
      <c r="N138" s="1">
        <v>2285853817278</v>
      </c>
      <c r="O138" s="1">
        <v>1368208235334</v>
      </c>
      <c r="P138" s="1">
        <v>0</v>
      </c>
      <c r="Q138" s="1">
        <v>4495174797284</v>
      </c>
      <c r="R138" s="1">
        <v>829395337308</v>
      </c>
      <c r="S138" s="1">
        <v>1297344951086</v>
      </c>
      <c r="T138" s="1">
        <v>0.24453</v>
      </c>
      <c r="U138">
        <f t="shared" si="14"/>
        <v>2.2728285371046937</v>
      </c>
      <c r="V138">
        <f t="shared" si="15"/>
        <v>-5.0472533987879595</v>
      </c>
      <c r="W138">
        <f t="shared" si="16"/>
        <v>1.3666579461006421</v>
      </c>
      <c r="X138">
        <f t="shared" si="17"/>
        <v>0</v>
      </c>
      <c r="Y138">
        <f t="shared" si="18"/>
        <v>0</v>
      </c>
      <c r="Z138">
        <f t="shared" si="19"/>
        <v>0</v>
      </c>
      <c r="AA138">
        <f t="shared" si="20"/>
        <v>0</v>
      </c>
    </row>
    <row r="139" spans="1:27" x14ac:dyDescent="0.35">
      <c r="A139" s="1">
        <v>9.5825644566356001</v>
      </c>
      <c r="B139" s="1">
        <v>10.4140943373038</v>
      </c>
      <c r="C139" s="1">
        <v>9.9308358643072997E-2</v>
      </c>
      <c r="D139" s="1" t="s">
        <v>3</v>
      </c>
      <c r="E139" s="1" t="s">
        <v>3</v>
      </c>
      <c r="F139" s="1" t="s">
        <v>3</v>
      </c>
      <c r="G139" s="1">
        <v>9.3924000000000003</v>
      </c>
      <c r="H139" s="1">
        <v>0.20160602242884401</v>
      </c>
      <c r="I139" s="1">
        <v>0.42523</v>
      </c>
      <c r="J139" s="1">
        <v>707499948508</v>
      </c>
      <c r="K139" s="1">
        <v>3318427936467</v>
      </c>
      <c r="L139">
        <v>7803851935273</v>
      </c>
      <c r="M139" s="1">
        <v>841174426856</v>
      </c>
      <c r="N139">
        <v>1593793682966</v>
      </c>
      <c r="O139" s="1">
        <v>757548336781</v>
      </c>
      <c r="P139" s="1" t="s">
        <v>3</v>
      </c>
      <c r="Q139" s="1">
        <v>3713836842046</v>
      </c>
      <c r="R139" s="1">
        <v>395408905579</v>
      </c>
      <c r="S139" s="1">
        <v>785080885800</v>
      </c>
      <c r="T139" s="1">
        <v>0.28005000000000002</v>
      </c>
      <c r="U139">
        <f t="shared" si="14"/>
        <v>2.23257945551509</v>
      </c>
      <c r="V139" t="e">
        <f t="shared" si="15"/>
        <v>#VALUE!</v>
      </c>
      <c r="W139">
        <f t="shared" si="16"/>
        <v>1.1026300646786669</v>
      </c>
      <c r="X139">
        <f t="shared" si="17"/>
        <v>0</v>
      </c>
      <c r="Y139" t="e">
        <f t="shared" si="18"/>
        <v>#VALUE!</v>
      </c>
      <c r="Z139">
        <f t="shared" si="19"/>
        <v>0</v>
      </c>
      <c r="AA139" t="e">
        <f t="shared" si="20"/>
        <v>#VALUE!</v>
      </c>
    </row>
    <row r="140" spans="1:27" x14ac:dyDescent="0.35">
      <c r="A140" s="1">
        <v>8.6039740718942106</v>
      </c>
      <c r="B140" s="1">
        <v>9.1292654212644493</v>
      </c>
      <c r="C140" s="1">
        <v>8.5257742298485997E-2</v>
      </c>
      <c r="D140" s="1" t="s">
        <v>3</v>
      </c>
      <c r="E140" s="1" t="s">
        <v>3</v>
      </c>
      <c r="F140" s="1" t="s">
        <v>3</v>
      </c>
      <c r="G140" s="1">
        <v>8.0763200000000008</v>
      </c>
      <c r="H140" s="1">
        <v>0.17497986880570601</v>
      </c>
      <c r="I140" s="1">
        <v>0.41467999999999999</v>
      </c>
      <c r="J140" s="1">
        <v>779149944217</v>
      </c>
      <c r="K140" s="1">
        <v>3098025767577</v>
      </c>
      <c r="L140" s="1">
        <v>7470941557319</v>
      </c>
      <c r="M140" s="1">
        <v>707336881726</v>
      </c>
      <c r="N140" s="1">
        <v>1336390680684</v>
      </c>
      <c r="O140" s="1">
        <v>657119635819</v>
      </c>
      <c r="P140" s="1" t="s">
        <v>3</v>
      </c>
      <c r="Q140" s="1">
        <v>3535827633604</v>
      </c>
      <c r="R140" s="1">
        <v>437801866027</v>
      </c>
      <c r="S140" s="1">
        <v>651147203627</v>
      </c>
      <c r="T140" s="1">
        <v>0.24127000000000001</v>
      </c>
      <c r="U140">
        <f t="shared" si="14"/>
        <v>1.8325738639313105</v>
      </c>
      <c r="V140" t="e">
        <f t="shared" si="15"/>
        <v>#VALUE!</v>
      </c>
      <c r="W140">
        <f t="shared" si="16"/>
        <v>1.0393074448537152</v>
      </c>
      <c r="X140">
        <f t="shared" si="17"/>
        <v>0</v>
      </c>
      <c r="Y140" t="e">
        <f t="shared" si="18"/>
        <v>#VALUE!</v>
      </c>
      <c r="Z140">
        <f t="shared" si="19"/>
        <v>0</v>
      </c>
      <c r="AA140" t="e">
        <f t="shared" si="20"/>
        <v>#VALUE!</v>
      </c>
    </row>
    <row r="141" spans="1:27" x14ac:dyDescent="0.35">
      <c r="A141" s="1">
        <v>6.6310306533853796</v>
      </c>
      <c r="B141" s="1">
        <v>6.9958103992768601</v>
      </c>
      <c r="C141" s="1">
        <v>5.7579150267157E-2</v>
      </c>
      <c r="D141" s="1" t="s">
        <v>3</v>
      </c>
      <c r="E141" s="1" t="s">
        <v>3</v>
      </c>
      <c r="F141" s="1" t="s">
        <v>3</v>
      </c>
      <c r="G141" s="1">
        <v>12.76858</v>
      </c>
      <c r="H141" s="1">
        <v>0.13843180184321999</v>
      </c>
      <c r="I141" s="1">
        <v>0.43842999999999999</v>
      </c>
      <c r="J141" s="1">
        <v>357238289707</v>
      </c>
      <c r="K141" s="1">
        <v>3288213845610</v>
      </c>
      <c r="L141" s="1">
        <v>7500033435372</v>
      </c>
      <c r="M141" s="1">
        <v>540610130099</v>
      </c>
      <c r="N141" s="1">
        <v>1036229521794</v>
      </c>
      <c r="O141" s="1">
        <v>496364970438</v>
      </c>
      <c r="P141" s="1" t="s">
        <v>3</v>
      </c>
      <c r="Q141" s="1">
        <v>3567619991194</v>
      </c>
      <c r="R141" s="1">
        <v>279406145584</v>
      </c>
      <c r="S141" s="1">
        <v>431008009375</v>
      </c>
      <c r="T141" s="1">
        <v>0.26473000000000002</v>
      </c>
      <c r="U141">
        <f t="shared" si="14"/>
        <v>1.9602735566056007</v>
      </c>
      <c r="V141" t="e">
        <f t="shared" si="15"/>
        <v>#VALUE!</v>
      </c>
      <c r="W141">
        <f t="shared" si="16"/>
        <v>0.97708202472149885</v>
      </c>
      <c r="X141">
        <f t="shared" si="17"/>
        <v>0</v>
      </c>
      <c r="Y141" t="e">
        <f t="shared" si="18"/>
        <v>#VALUE!</v>
      </c>
      <c r="Z141">
        <f t="shared" si="19"/>
        <v>0</v>
      </c>
      <c r="AA141" t="e">
        <f t="shared" si="20"/>
        <v>#VALUE!</v>
      </c>
    </row>
    <row r="142" spans="1:27" x14ac:dyDescent="0.35">
      <c r="A142" s="1">
        <v>17.667798172390199</v>
      </c>
      <c r="B142" s="1">
        <v>19.520416832104001</v>
      </c>
      <c r="C142" s="1">
        <v>0.16902288302614099</v>
      </c>
      <c r="D142" s="1" t="s">
        <v>3</v>
      </c>
      <c r="E142" s="1" t="s">
        <v>3</v>
      </c>
      <c r="F142" s="1" t="s">
        <v>3</v>
      </c>
      <c r="G142" s="1">
        <v>3.7112400000000001</v>
      </c>
      <c r="H142" s="1">
        <v>0.35063231733700501</v>
      </c>
      <c r="I142" s="1">
        <v>0.38451999999999997</v>
      </c>
      <c r="J142" s="1">
        <v>2006890268583</v>
      </c>
      <c r="K142" s="1">
        <v>2928904755103</v>
      </c>
      <c r="L142">
        <v>7616971029620</v>
      </c>
      <c r="M142" s="1">
        <v>1405047375639</v>
      </c>
      <c r="N142">
        <v>2650255153377</v>
      </c>
      <c r="O142" s="1">
        <v>1335420919293</v>
      </c>
      <c r="P142" s="1" t="s">
        <v>3</v>
      </c>
      <c r="Q142" s="1">
        <v>4009185451871</v>
      </c>
      <c r="R142" s="1">
        <v>1080280696768</v>
      </c>
      <c r="S142" s="1">
        <v>1277559838696</v>
      </c>
      <c r="T142" s="1">
        <v>0.16972999999999999</v>
      </c>
      <c r="U142">
        <f t="shared" si="14"/>
        <v>1.9085696527693072</v>
      </c>
      <c r="V142" t="e">
        <f t="shared" si="15"/>
        <v>#VALUE!</v>
      </c>
      <c r="W142">
        <f t="shared" si="16"/>
        <v>1.2652064164039416</v>
      </c>
      <c r="X142">
        <f t="shared" si="17"/>
        <v>0</v>
      </c>
      <c r="Y142" t="e">
        <f t="shared" si="18"/>
        <v>#VALUE!</v>
      </c>
      <c r="Z142">
        <f t="shared" si="19"/>
        <v>0</v>
      </c>
      <c r="AA142" t="e">
        <f t="shared" si="20"/>
        <v>#VALUE!</v>
      </c>
    </row>
    <row r="143" spans="1:27" x14ac:dyDescent="0.35">
      <c r="A143">
        <v>18.770355815616799</v>
      </c>
      <c r="B143" s="1">
        <v>22.429339570332498</v>
      </c>
      <c r="C143">
        <v>0.19092810608396299</v>
      </c>
      <c r="D143">
        <v>2.4580000000000001E-2</v>
      </c>
      <c r="E143">
        <v>2.0119999999999999E-2</v>
      </c>
      <c r="F143">
        <v>15.118740000000001</v>
      </c>
      <c r="G143">
        <v>3.2065100000000002</v>
      </c>
      <c r="H143">
        <v>0.36596324345238102</v>
      </c>
      <c r="I143">
        <v>0.38135000000000002</v>
      </c>
      <c r="J143">
        <v>2926441047878</v>
      </c>
      <c r="K143" s="1">
        <v>2574951950900</v>
      </c>
      <c r="L143">
        <v>6752233240104</v>
      </c>
      <c r="M143">
        <v>1422649315269</v>
      </c>
      <c r="N143">
        <v>2629300300189</v>
      </c>
      <c r="O143" s="1">
        <v>1348575384650</v>
      </c>
      <c r="P143" s="1">
        <v>1358543863</v>
      </c>
      <c r="Q143">
        <v>3741930229375</v>
      </c>
      <c r="R143">
        <v>1166978278475</v>
      </c>
      <c r="S143">
        <v>1371742478576</v>
      </c>
      <c r="T143">
        <v>4.8129999999999999E-2</v>
      </c>
      <c r="U143">
        <f t="shared" si="14"/>
        <v>1.9768280871819193</v>
      </c>
      <c r="V143">
        <f t="shared" si="15"/>
        <v>-5.1847800190139255</v>
      </c>
      <c r="W143">
        <f t="shared" si="16"/>
        <v>1.3809559423267808</v>
      </c>
      <c r="X143">
        <f t="shared" si="17"/>
        <v>0</v>
      </c>
      <c r="Y143">
        <f t="shared" si="18"/>
        <v>0</v>
      </c>
      <c r="Z143">
        <f t="shared" si="19"/>
        <v>0</v>
      </c>
      <c r="AA143">
        <f t="shared" si="20"/>
        <v>0</v>
      </c>
    </row>
    <row r="144" spans="1:27" x14ac:dyDescent="0.35">
      <c r="A144">
        <v>11.1122136531897</v>
      </c>
      <c r="B144" s="1">
        <v>13.1474353996167</v>
      </c>
      <c r="C144">
        <v>0.107130846954629</v>
      </c>
      <c r="D144">
        <v>1.315E-2</v>
      </c>
      <c r="E144">
        <v>1.1509999999999999E-2</v>
      </c>
      <c r="F144">
        <v>12.12302</v>
      </c>
      <c r="G144">
        <v>4.5193199999999996</v>
      </c>
      <c r="H144">
        <v>0.22395728910035201</v>
      </c>
      <c r="I144">
        <v>0.40316999999999997</v>
      </c>
      <c r="J144">
        <v>161602721175</v>
      </c>
      <c r="K144" s="1">
        <v>2464977940377</v>
      </c>
      <c r="L144">
        <v>6113941603354</v>
      </c>
      <c r="M144">
        <v>766193847946</v>
      </c>
      <c r="N144">
        <v>1440736819516</v>
      </c>
      <c r="O144" s="1">
        <v>714858418799</v>
      </c>
      <c r="P144" s="1">
        <v>703416272</v>
      </c>
      <c r="Q144">
        <v>3165390132316</v>
      </c>
      <c r="R144">
        <v>700412191939</v>
      </c>
      <c r="S144">
        <v>689182104023</v>
      </c>
      <c r="T144">
        <v>2.4309999999999998E-2</v>
      </c>
      <c r="U144">
        <f t="shared" si="14"/>
        <v>1.5775735492320795</v>
      </c>
      <c r="V144">
        <f t="shared" si="15"/>
        <v>-4.8074189554699149</v>
      </c>
      <c r="W144">
        <f t="shared" si="16"/>
        <v>1.1078159277956938</v>
      </c>
      <c r="X144">
        <f t="shared" si="17"/>
        <v>0</v>
      </c>
      <c r="Y144">
        <f t="shared" si="18"/>
        <v>0</v>
      </c>
      <c r="Z144">
        <f t="shared" si="19"/>
        <v>0</v>
      </c>
      <c r="AA144">
        <f t="shared" si="20"/>
        <v>0</v>
      </c>
    </row>
    <row r="145" spans="1:27" x14ac:dyDescent="0.35">
      <c r="A145">
        <v>19.132642706197601</v>
      </c>
      <c r="B145" s="1">
        <v>21.993306597689799</v>
      </c>
      <c r="C145">
        <v>0.18987607286421701</v>
      </c>
      <c r="D145">
        <v>0</v>
      </c>
      <c r="E145">
        <v>0</v>
      </c>
      <c r="F145">
        <v>22.568049999999999</v>
      </c>
      <c r="G145">
        <v>4.8155000000000001</v>
      </c>
      <c r="H145">
        <v>0.30342651875627102</v>
      </c>
      <c r="I145">
        <v>0.45430999999999999</v>
      </c>
      <c r="J145">
        <v>1292309468829</v>
      </c>
      <c r="K145" s="1">
        <v>3009074074483</v>
      </c>
      <c r="L145">
        <v>6623414189145</v>
      </c>
      <c r="M145">
        <v>1282372586312</v>
      </c>
      <c r="N145">
        <v>1932425763139</v>
      </c>
      <c r="O145" s="1">
        <v>1218496386998</v>
      </c>
      <c r="P145" s="1">
        <v>0</v>
      </c>
      <c r="Q145">
        <v>3797719720016</v>
      </c>
      <c r="R145">
        <v>788645645533</v>
      </c>
      <c r="S145">
        <v>1209259548277</v>
      </c>
      <c r="T145">
        <v>7.8799999999999995E-2</v>
      </c>
      <c r="U145">
        <f t="shared" si="14"/>
        <v>2.2183301358008385</v>
      </c>
      <c r="V145">
        <f t="shared" si="15"/>
        <v>-5.1085941024052861</v>
      </c>
      <c r="W145">
        <f t="shared" si="16"/>
        <v>1.4310326978703749</v>
      </c>
      <c r="X145">
        <f t="shared" si="17"/>
        <v>0</v>
      </c>
      <c r="Y145">
        <f t="shared" si="18"/>
        <v>0</v>
      </c>
      <c r="Z145">
        <f t="shared" si="19"/>
        <v>0</v>
      </c>
      <c r="AA145">
        <f t="shared" si="20"/>
        <v>0</v>
      </c>
    </row>
    <row r="146" spans="1:27" x14ac:dyDescent="0.35">
      <c r="A146">
        <v>18.1516903980969</v>
      </c>
      <c r="B146" s="1">
        <v>20.861145316016401</v>
      </c>
      <c r="C146">
        <v>0.16677699481286201</v>
      </c>
      <c r="D146">
        <v>1.8669999999999999E-2</v>
      </c>
      <c r="E146">
        <v>1.634E-2</v>
      </c>
      <c r="F146">
        <v>41.793640000000003</v>
      </c>
      <c r="G146">
        <v>5.96645</v>
      </c>
      <c r="H146">
        <v>0.28802770416605999</v>
      </c>
      <c r="I146">
        <v>0.53793999999999997</v>
      </c>
      <c r="J146">
        <v>1383989448797</v>
      </c>
      <c r="K146" s="1">
        <v>3614136344317</v>
      </c>
      <c r="L146">
        <v>6718508462422</v>
      </c>
      <c r="M146">
        <v>1294602458461</v>
      </c>
      <c r="N146">
        <v>1921421675246</v>
      </c>
      <c r="O146" s="1">
        <v>1210892246433</v>
      </c>
      <c r="P146" s="1">
        <v>1098071206</v>
      </c>
      <c r="Q146">
        <v>4341846209933</v>
      </c>
      <c r="R146">
        <v>727709865616</v>
      </c>
      <c r="S146">
        <v>1112562882427</v>
      </c>
      <c r="T146">
        <v>0.10085</v>
      </c>
      <c r="U146">
        <f t="shared" si="14"/>
        <v>2.3509990395081908</v>
      </c>
      <c r="V146">
        <f t="shared" si="15"/>
        <v>-5.0862479434584964</v>
      </c>
      <c r="W146">
        <f t="shared" si="16"/>
        <v>1.5111714653620429</v>
      </c>
      <c r="X146">
        <f t="shared" si="17"/>
        <v>0</v>
      </c>
      <c r="Y146">
        <f t="shared" si="18"/>
        <v>0</v>
      </c>
      <c r="Z146">
        <f t="shared" si="19"/>
        <v>0</v>
      </c>
      <c r="AA146">
        <f t="shared" si="20"/>
        <v>0</v>
      </c>
    </row>
    <row r="147" spans="1:27" x14ac:dyDescent="0.35">
      <c r="A147">
        <v>17.826943853099799</v>
      </c>
      <c r="B147" s="1">
        <v>20.380227755785899</v>
      </c>
      <c r="C147">
        <v>0.15704999882416201</v>
      </c>
      <c r="D147">
        <v>6.9383299999999997</v>
      </c>
      <c r="E147">
        <v>6.0640299999999998</v>
      </c>
      <c r="F147">
        <v>30.557849999999998</v>
      </c>
      <c r="G147">
        <v>6.3375000000000004</v>
      </c>
      <c r="H147">
        <v>0.27150905117840002</v>
      </c>
      <c r="I147">
        <v>0.61626999999999998</v>
      </c>
      <c r="J147">
        <v>820724131906</v>
      </c>
      <c r="K147" s="1">
        <v>5087139375401</v>
      </c>
      <c r="L147">
        <v>8254678433726</v>
      </c>
      <c r="M147">
        <v>1425627499259</v>
      </c>
      <c r="N147">
        <v>2032677883645</v>
      </c>
      <c r="O147" s="1">
        <v>1334630810498</v>
      </c>
      <c r="P147" s="1">
        <v>500566131989</v>
      </c>
      <c r="Q147">
        <v>6040232958047</v>
      </c>
      <c r="R147">
        <v>953093582646</v>
      </c>
      <c r="S147">
        <v>1175769492217</v>
      </c>
      <c r="T147">
        <v>0.24363000000000001</v>
      </c>
      <c r="U147">
        <f t="shared" si="14"/>
        <v>2.1577618546006683</v>
      </c>
      <c r="V147">
        <f t="shared" si="15"/>
        <v>-4.6565681616620429</v>
      </c>
      <c r="W147">
        <f t="shared" si="16"/>
        <v>1.5612928096571885</v>
      </c>
      <c r="X147">
        <f t="shared" si="17"/>
        <v>0</v>
      </c>
      <c r="Y147">
        <f t="shared" si="18"/>
        <v>0</v>
      </c>
      <c r="Z147">
        <f t="shared" si="19"/>
        <v>0</v>
      </c>
      <c r="AA147">
        <f t="shared" si="20"/>
        <v>0</v>
      </c>
    </row>
    <row r="148" spans="1:27" x14ac:dyDescent="0.35">
      <c r="A148">
        <v>10.4177492095035</v>
      </c>
      <c r="B148" s="1">
        <v>11.581455719583801</v>
      </c>
      <c r="C148">
        <v>8.1116141761096994E-2</v>
      </c>
      <c r="D148" s="1" t="s">
        <v>3</v>
      </c>
      <c r="E148" s="1" t="s">
        <v>3</v>
      </c>
      <c r="F148" s="1">
        <v>25.320219999999999</v>
      </c>
      <c r="G148" s="1">
        <v>11.735939999999999</v>
      </c>
      <c r="H148" s="1">
        <v>0.170270245129893</v>
      </c>
      <c r="I148" s="1">
        <v>0.66086999999999996</v>
      </c>
      <c r="J148" s="1">
        <v>85554664775</v>
      </c>
      <c r="K148" s="1">
        <v>4706700485074</v>
      </c>
      <c r="L148">
        <v>7121947515022</v>
      </c>
      <c r="M148" s="1">
        <v>842051524829</v>
      </c>
      <c r="N148">
        <v>1309090934782</v>
      </c>
      <c r="O148">
        <v>800949164112</v>
      </c>
      <c r="P148" s="1" t="s">
        <v>3</v>
      </c>
      <c r="Q148" s="1">
        <v>5145106602626</v>
      </c>
      <c r="R148" s="1">
        <v>438406117552</v>
      </c>
      <c r="S148" s="1">
        <v>623646285133</v>
      </c>
      <c r="T148" s="1">
        <v>0.19802</v>
      </c>
      <c r="U148">
        <f t="shared" si="14"/>
        <v>2.2907226775610732</v>
      </c>
      <c r="V148" t="e">
        <f t="shared" si="15"/>
        <v>#VALUE!</v>
      </c>
      <c r="W148">
        <f t="shared" si="16"/>
        <v>1.4473167526445938</v>
      </c>
      <c r="X148">
        <f t="shared" si="17"/>
        <v>0</v>
      </c>
      <c r="Y148" t="e">
        <f t="shared" si="18"/>
        <v>#VALUE!</v>
      </c>
      <c r="Z148">
        <f t="shared" si="19"/>
        <v>0</v>
      </c>
      <c r="AA148" t="e">
        <f t="shared" si="20"/>
        <v>#VALUE!</v>
      </c>
    </row>
    <row r="149" spans="1:27" x14ac:dyDescent="0.35">
      <c r="A149" s="1" t="s">
        <v>3</v>
      </c>
      <c r="B149" s="1" t="s">
        <v>3</v>
      </c>
      <c r="C149" s="1" t="s">
        <v>3</v>
      </c>
      <c r="D149" s="1" t="s">
        <v>3</v>
      </c>
      <c r="E149" s="1" t="s">
        <v>3</v>
      </c>
      <c r="F149" s="1" t="s">
        <v>3</v>
      </c>
      <c r="G149" s="1" t="s">
        <v>3</v>
      </c>
      <c r="H149" s="1" t="s">
        <v>3</v>
      </c>
      <c r="I149" s="1" t="s">
        <v>3</v>
      </c>
      <c r="J149" s="1" t="s">
        <v>3</v>
      </c>
      <c r="K149" s="1" t="s">
        <v>3</v>
      </c>
      <c r="L149" s="1" t="s">
        <v>3</v>
      </c>
      <c r="M149" s="1" t="s">
        <v>3</v>
      </c>
      <c r="N149" s="1" t="s">
        <v>3</v>
      </c>
      <c r="O149" s="1" t="s">
        <v>3</v>
      </c>
      <c r="P149" s="1" t="s">
        <v>3</v>
      </c>
      <c r="Q149" s="1" t="s">
        <v>3</v>
      </c>
      <c r="R149" s="1" t="s">
        <v>3</v>
      </c>
      <c r="S149" s="1" t="s">
        <v>3</v>
      </c>
      <c r="T149" s="1" t="s">
        <v>3</v>
      </c>
      <c r="U149" t="e">
        <f t="shared" si="14"/>
        <v>#VALUE!</v>
      </c>
      <c r="V149" t="e">
        <f t="shared" si="15"/>
        <v>#VALUE!</v>
      </c>
      <c r="W149" t="e">
        <f t="shared" si="16"/>
        <v>#VALUE!</v>
      </c>
      <c r="X149" t="e">
        <f t="shared" si="17"/>
        <v>#VALUE!</v>
      </c>
      <c r="Y149" t="e">
        <f t="shared" si="18"/>
        <v>#VALUE!</v>
      </c>
      <c r="Z149" t="e">
        <f t="shared" si="19"/>
        <v>#VALUE!</v>
      </c>
      <c r="AA149" t="e">
        <f t="shared" si="20"/>
        <v>#VALUE!</v>
      </c>
    </row>
    <row r="150" spans="1:27" x14ac:dyDescent="0.35">
      <c r="A150" s="1" t="s">
        <v>3</v>
      </c>
      <c r="B150" s="1" t="s">
        <v>3</v>
      </c>
      <c r="C150" s="1" t="s">
        <v>3</v>
      </c>
      <c r="D150" s="1" t="s">
        <v>3</v>
      </c>
      <c r="E150" s="1" t="s">
        <v>3</v>
      </c>
      <c r="F150" s="1" t="s">
        <v>3</v>
      </c>
      <c r="G150" s="1" t="s">
        <v>3</v>
      </c>
      <c r="H150" s="1" t="s">
        <v>3</v>
      </c>
      <c r="I150" s="1" t="s">
        <v>3</v>
      </c>
      <c r="J150" s="1" t="s">
        <v>3</v>
      </c>
      <c r="K150" s="1" t="s">
        <v>3</v>
      </c>
      <c r="L150" s="1" t="s">
        <v>3</v>
      </c>
      <c r="M150" s="1" t="s">
        <v>3</v>
      </c>
      <c r="N150" s="1" t="s">
        <v>3</v>
      </c>
      <c r="O150" s="1" t="s">
        <v>3</v>
      </c>
      <c r="P150" s="1" t="s">
        <v>3</v>
      </c>
      <c r="Q150" s="1" t="s">
        <v>3</v>
      </c>
      <c r="R150" s="1" t="s">
        <v>3</v>
      </c>
      <c r="S150" s="1" t="s">
        <v>3</v>
      </c>
      <c r="T150" s="1" t="s">
        <v>3</v>
      </c>
      <c r="U150" t="e">
        <f t="shared" si="14"/>
        <v>#VALUE!</v>
      </c>
      <c r="V150" t="e">
        <f t="shared" si="15"/>
        <v>#VALUE!</v>
      </c>
      <c r="W150" t="e">
        <f t="shared" si="16"/>
        <v>#VALUE!</v>
      </c>
      <c r="X150" t="e">
        <f t="shared" si="17"/>
        <v>#VALUE!</v>
      </c>
      <c r="Y150" t="e">
        <f t="shared" si="18"/>
        <v>#VALUE!</v>
      </c>
      <c r="Z150" t="e">
        <f t="shared" si="19"/>
        <v>#VALUE!</v>
      </c>
      <c r="AA150" t="e">
        <f t="shared" si="20"/>
        <v>#VALUE!</v>
      </c>
    </row>
    <row r="151" spans="1:27" x14ac:dyDescent="0.35">
      <c r="A151" s="1" t="s">
        <v>3</v>
      </c>
      <c r="B151" s="1" t="s">
        <v>3</v>
      </c>
      <c r="C151" s="1" t="s">
        <v>3</v>
      </c>
      <c r="D151" s="1" t="s">
        <v>3</v>
      </c>
      <c r="E151" s="1" t="s">
        <v>3</v>
      </c>
      <c r="F151" s="1" t="s">
        <v>3</v>
      </c>
      <c r="G151" s="1" t="s">
        <v>3</v>
      </c>
      <c r="H151" s="1" t="s">
        <v>3</v>
      </c>
      <c r="I151" s="1" t="s">
        <v>3</v>
      </c>
      <c r="J151" s="1" t="s">
        <v>3</v>
      </c>
      <c r="K151" s="1" t="s">
        <v>3</v>
      </c>
      <c r="L151" s="1" t="s">
        <v>3</v>
      </c>
      <c r="M151" s="1" t="s">
        <v>3</v>
      </c>
      <c r="N151" s="1" t="s">
        <v>3</v>
      </c>
      <c r="O151" s="1" t="s">
        <v>3</v>
      </c>
      <c r="P151" s="1" t="s">
        <v>3</v>
      </c>
      <c r="Q151" s="1" t="s">
        <v>3</v>
      </c>
      <c r="R151" s="1" t="s">
        <v>3</v>
      </c>
      <c r="S151" s="1" t="s">
        <v>3</v>
      </c>
      <c r="T151" s="1" t="s">
        <v>3</v>
      </c>
      <c r="U151" t="e">
        <f t="shared" si="14"/>
        <v>#VALUE!</v>
      </c>
      <c r="V151" t="e">
        <f t="shared" si="15"/>
        <v>#VALUE!</v>
      </c>
      <c r="W151" t="e">
        <f t="shared" si="16"/>
        <v>#VALUE!</v>
      </c>
      <c r="X151" t="e">
        <f t="shared" si="17"/>
        <v>#VALUE!</v>
      </c>
      <c r="Y151" t="e">
        <f t="shared" si="18"/>
        <v>#VALUE!</v>
      </c>
      <c r="Z151" t="e">
        <f t="shared" si="19"/>
        <v>#VALUE!</v>
      </c>
      <c r="AA151" t="e">
        <f t="shared" si="20"/>
        <v>#VALUE!</v>
      </c>
    </row>
    <row r="152" spans="1:27" x14ac:dyDescent="0.35">
      <c r="A152" s="1" t="s">
        <v>3</v>
      </c>
      <c r="B152" s="1" t="s">
        <v>3</v>
      </c>
      <c r="C152" s="1" t="s">
        <v>3</v>
      </c>
      <c r="D152" s="1" t="s">
        <v>3</v>
      </c>
      <c r="E152" s="1" t="s">
        <v>3</v>
      </c>
      <c r="F152" s="1" t="s">
        <v>3</v>
      </c>
      <c r="G152" s="1" t="s">
        <v>3</v>
      </c>
      <c r="H152" s="1" t="s">
        <v>3</v>
      </c>
      <c r="I152" s="1" t="s">
        <v>3</v>
      </c>
      <c r="J152" s="1" t="s">
        <v>3</v>
      </c>
      <c r="K152" s="1" t="s">
        <v>3</v>
      </c>
      <c r="L152" s="1" t="s">
        <v>3</v>
      </c>
      <c r="M152" s="1" t="s">
        <v>3</v>
      </c>
      <c r="N152" s="1" t="s">
        <v>3</v>
      </c>
      <c r="O152" s="1" t="s">
        <v>3</v>
      </c>
      <c r="P152" s="1" t="s">
        <v>3</v>
      </c>
      <c r="Q152" s="1" t="s">
        <v>3</v>
      </c>
      <c r="R152" s="1" t="s">
        <v>3</v>
      </c>
      <c r="S152" s="1" t="s">
        <v>3</v>
      </c>
      <c r="T152" s="1" t="s">
        <v>3</v>
      </c>
      <c r="U152" t="e">
        <f t="shared" si="14"/>
        <v>#VALUE!</v>
      </c>
      <c r="V152" t="e">
        <f t="shared" si="15"/>
        <v>#VALUE!</v>
      </c>
      <c r="W152" t="e">
        <f t="shared" si="16"/>
        <v>#VALUE!</v>
      </c>
      <c r="X152" t="e">
        <f t="shared" si="17"/>
        <v>#VALUE!</v>
      </c>
      <c r="Y152" t="e">
        <f t="shared" si="18"/>
        <v>#VALUE!</v>
      </c>
      <c r="Z152" t="e">
        <f t="shared" si="19"/>
        <v>#VALUE!</v>
      </c>
      <c r="AA152" t="e">
        <f t="shared" si="20"/>
        <v>#VALUE!</v>
      </c>
    </row>
    <row r="153" spans="1:27" x14ac:dyDescent="0.35">
      <c r="A153" s="1" t="s">
        <v>3</v>
      </c>
      <c r="B153" s="1" t="s">
        <v>3</v>
      </c>
      <c r="C153" s="1" t="s">
        <v>3</v>
      </c>
      <c r="D153" s="1" t="s">
        <v>3</v>
      </c>
      <c r="E153" s="1" t="s">
        <v>3</v>
      </c>
      <c r="F153" s="1" t="s">
        <v>3</v>
      </c>
      <c r="G153" s="1" t="s">
        <v>3</v>
      </c>
      <c r="H153" s="1" t="s">
        <v>3</v>
      </c>
      <c r="I153" s="1" t="s">
        <v>3</v>
      </c>
      <c r="J153" s="1" t="s">
        <v>3</v>
      </c>
      <c r="K153" s="1" t="s">
        <v>3</v>
      </c>
      <c r="L153" s="1" t="s">
        <v>3</v>
      </c>
      <c r="M153" s="1" t="s">
        <v>3</v>
      </c>
      <c r="N153" s="1" t="s">
        <v>3</v>
      </c>
      <c r="O153" s="1" t="s">
        <v>3</v>
      </c>
      <c r="P153" s="1" t="s">
        <v>3</v>
      </c>
      <c r="Q153" s="1" t="s">
        <v>3</v>
      </c>
      <c r="R153" s="1" t="s">
        <v>3</v>
      </c>
      <c r="S153" s="1" t="s">
        <v>3</v>
      </c>
      <c r="T153" s="1" t="s">
        <v>3</v>
      </c>
      <c r="U153" t="e">
        <f t="shared" si="14"/>
        <v>#VALUE!</v>
      </c>
      <c r="V153" t="e">
        <f t="shared" si="15"/>
        <v>#VALUE!</v>
      </c>
      <c r="W153" t="e">
        <f t="shared" si="16"/>
        <v>#VALUE!</v>
      </c>
      <c r="X153" t="e">
        <f t="shared" si="17"/>
        <v>#VALUE!</v>
      </c>
      <c r="Y153" t="e">
        <f t="shared" si="18"/>
        <v>#VALUE!</v>
      </c>
      <c r="Z153" t="e">
        <f t="shared" si="19"/>
        <v>#VALUE!</v>
      </c>
      <c r="AA153" t="e">
        <f t="shared" si="20"/>
        <v>#VALUE!</v>
      </c>
    </row>
    <row r="154" spans="1:27" x14ac:dyDescent="0.35">
      <c r="A154" s="1" t="s">
        <v>3</v>
      </c>
      <c r="B154" s="1" t="s">
        <v>3</v>
      </c>
      <c r="C154" s="1" t="s">
        <v>3</v>
      </c>
      <c r="D154" s="1" t="s">
        <v>3</v>
      </c>
      <c r="E154" s="1" t="s">
        <v>3</v>
      </c>
      <c r="F154" s="1" t="s">
        <v>3</v>
      </c>
      <c r="G154" s="1" t="s">
        <v>3</v>
      </c>
      <c r="H154" s="1" t="s">
        <v>3</v>
      </c>
      <c r="I154" s="1" t="s">
        <v>3</v>
      </c>
      <c r="J154" s="1" t="s">
        <v>3</v>
      </c>
      <c r="K154" s="1" t="s">
        <v>3</v>
      </c>
      <c r="L154" s="1" t="s">
        <v>3</v>
      </c>
      <c r="M154" s="1" t="s">
        <v>3</v>
      </c>
      <c r="N154" s="1" t="s">
        <v>3</v>
      </c>
      <c r="O154" s="1" t="s">
        <v>3</v>
      </c>
      <c r="P154" s="1" t="s">
        <v>3</v>
      </c>
      <c r="Q154" s="1" t="s">
        <v>3</v>
      </c>
      <c r="R154" s="1" t="s">
        <v>3</v>
      </c>
      <c r="S154" s="1" t="s">
        <v>3</v>
      </c>
      <c r="T154" s="1" t="s">
        <v>3</v>
      </c>
      <c r="U154" t="e">
        <f t="shared" si="14"/>
        <v>#VALUE!</v>
      </c>
      <c r="V154" t="e">
        <f t="shared" si="15"/>
        <v>#VALUE!</v>
      </c>
      <c r="W154" t="e">
        <f t="shared" si="16"/>
        <v>#VALUE!</v>
      </c>
      <c r="X154" t="e">
        <f t="shared" si="17"/>
        <v>#VALUE!</v>
      </c>
      <c r="Y154" t="e">
        <f t="shared" si="18"/>
        <v>#VALUE!</v>
      </c>
      <c r="Z154" t="e">
        <f t="shared" si="19"/>
        <v>#VALUE!</v>
      </c>
      <c r="AA154" t="e">
        <f t="shared" si="20"/>
        <v>#VALUE!</v>
      </c>
    </row>
    <row r="155" spans="1:27" x14ac:dyDescent="0.35">
      <c r="A155" s="1" t="s">
        <v>3</v>
      </c>
      <c r="B155" s="1" t="s">
        <v>3</v>
      </c>
      <c r="C155" s="1" t="s">
        <v>3</v>
      </c>
      <c r="D155" s="1" t="s">
        <v>3</v>
      </c>
      <c r="E155" s="1" t="s">
        <v>3</v>
      </c>
      <c r="F155" s="1" t="s">
        <v>3</v>
      </c>
      <c r="G155" s="1" t="s">
        <v>3</v>
      </c>
      <c r="H155" s="1" t="s">
        <v>3</v>
      </c>
      <c r="I155" s="1" t="s">
        <v>3</v>
      </c>
      <c r="J155" s="1" t="s">
        <v>3</v>
      </c>
      <c r="K155" s="1" t="s">
        <v>3</v>
      </c>
      <c r="L155" s="1" t="s">
        <v>3</v>
      </c>
      <c r="M155" s="1" t="s">
        <v>3</v>
      </c>
      <c r="N155" s="1" t="s">
        <v>3</v>
      </c>
      <c r="O155" s="1" t="s">
        <v>3</v>
      </c>
      <c r="P155" s="1" t="s">
        <v>3</v>
      </c>
      <c r="Q155" s="1" t="s">
        <v>3</v>
      </c>
      <c r="R155" s="1" t="s">
        <v>3</v>
      </c>
      <c r="S155" s="1" t="s">
        <v>3</v>
      </c>
      <c r="T155" s="1" t="s">
        <v>3</v>
      </c>
      <c r="U155" t="e">
        <f t="shared" si="14"/>
        <v>#VALUE!</v>
      </c>
      <c r="V155" t="e">
        <f t="shared" si="15"/>
        <v>#VALUE!</v>
      </c>
      <c r="W155" t="e">
        <f t="shared" si="16"/>
        <v>#VALUE!</v>
      </c>
      <c r="X155" t="e">
        <f t="shared" si="17"/>
        <v>#VALUE!</v>
      </c>
      <c r="Y155" t="e">
        <f t="shared" si="18"/>
        <v>#VALUE!</v>
      </c>
      <c r="Z155" t="e">
        <f t="shared" si="19"/>
        <v>#VALUE!</v>
      </c>
      <c r="AA155" t="e">
        <f t="shared" si="20"/>
        <v>#VALUE!</v>
      </c>
    </row>
    <row r="156" spans="1:27" x14ac:dyDescent="0.35">
      <c r="A156" s="1" t="s">
        <v>3</v>
      </c>
      <c r="B156" s="1" t="s">
        <v>3</v>
      </c>
      <c r="C156" s="1" t="s">
        <v>3</v>
      </c>
      <c r="D156" s="1" t="s">
        <v>3</v>
      </c>
      <c r="E156" s="1" t="s">
        <v>3</v>
      </c>
      <c r="F156" s="1" t="s">
        <v>3</v>
      </c>
      <c r="G156" s="1" t="s">
        <v>3</v>
      </c>
      <c r="H156" s="1" t="s">
        <v>3</v>
      </c>
      <c r="I156" s="1" t="s">
        <v>3</v>
      </c>
      <c r="J156" s="1" t="s">
        <v>3</v>
      </c>
      <c r="K156" s="1" t="s">
        <v>3</v>
      </c>
      <c r="L156" s="1" t="s">
        <v>3</v>
      </c>
      <c r="M156" s="1" t="s">
        <v>3</v>
      </c>
      <c r="N156" s="1" t="s">
        <v>3</v>
      </c>
      <c r="O156" s="1" t="s">
        <v>3</v>
      </c>
      <c r="P156" s="1" t="s">
        <v>3</v>
      </c>
      <c r="Q156" s="1" t="s">
        <v>3</v>
      </c>
      <c r="R156" s="1" t="s">
        <v>3</v>
      </c>
      <c r="S156" s="1" t="s">
        <v>3</v>
      </c>
      <c r="T156" s="1" t="s">
        <v>3</v>
      </c>
      <c r="U156" t="e">
        <f t="shared" si="14"/>
        <v>#VALUE!</v>
      </c>
      <c r="V156" t="e">
        <f t="shared" si="15"/>
        <v>#VALUE!</v>
      </c>
      <c r="W156" t="e">
        <f t="shared" si="16"/>
        <v>#VALUE!</v>
      </c>
      <c r="X156" t="e">
        <f t="shared" si="17"/>
        <v>#VALUE!</v>
      </c>
      <c r="Y156" t="e">
        <f t="shared" si="18"/>
        <v>#VALUE!</v>
      </c>
      <c r="Z156" t="e">
        <f t="shared" si="19"/>
        <v>#VALUE!</v>
      </c>
      <c r="AA156" t="e">
        <f t="shared" si="20"/>
        <v>#VALUE!</v>
      </c>
    </row>
    <row r="157" spans="1:27" x14ac:dyDescent="0.35">
      <c r="A157" s="1" t="s">
        <v>3</v>
      </c>
      <c r="B157" s="1" t="s">
        <v>3</v>
      </c>
      <c r="C157" s="1" t="s">
        <v>3</v>
      </c>
      <c r="D157" s="1" t="s">
        <v>3</v>
      </c>
      <c r="E157" s="1" t="s">
        <v>3</v>
      </c>
      <c r="F157" s="1" t="s">
        <v>3</v>
      </c>
      <c r="G157" s="1" t="s">
        <v>3</v>
      </c>
      <c r="H157" s="1" t="s">
        <v>3</v>
      </c>
      <c r="I157" s="1" t="s">
        <v>3</v>
      </c>
      <c r="J157" s="1" t="s">
        <v>3</v>
      </c>
      <c r="K157" s="1" t="s">
        <v>3</v>
      </c>
      <c r="L157" s="1" t="s">
        <v>3</v>
      </c>
      <c r="M157" s="1" t="s">
        <v>3</v>
      </c>
      <c r="N157" s="1" t="s">
        <v>3</v>
      </c>
      <c r="O157" s="1" t="s">
        <v>3</v>
      </c>
      <c r="P157" s="1" t="s">
        <v>3</v>
      </c>
      <c r="Q157" s="1" t="s">
        <v>3</v>
      </c>
      <c r="R157" s="1" t="s">
        <v>3</v>
      </c>
      <c r="S157" s="1" t="s">
        <v>3</v>
      </c>
      <c r="T157" s="1" t="s">
        <v>3</v>
      </c>
      <c r="U157" t="e">
        <f t="shared" si="14"/>
        <v>#VALUE!</v>
      </c>
      <c r="V157" t="e">
        <f t="shared" si="15"/>
        <v>#VALUE!</v>
      </c>
      <c r="W157" t="e">
        <f t="shared" si="16"/>
        <v>#VALUE!</v>
      </c>
      <c r="X157" t="e">
        <f t="shared" si="17"/>
        <v>#VALUE!</v>
      </c>
      <c r="Y157" t="e">
        <f t="shared" si="18"/>
        <v>#VALUE!</v>
      </c>
      <c r="Z157" t="e">
        <f t="shared" si="19"/>
        <v>#VALUE!</v>
      </c>
      <c r="AA157" t="e">
        <f t="shared" si="20"/>
        <v>#VALUE!</v>
      </c>
    </row>
    <row r="158" spans="1:27" x14ac:dyDescent="0.35">
      <c r="A158" s="1" t="s">
        <v>3</v>
      </c>
      <c r="B158" s="1" t="s">
        <v>3</v>
      </c>
      <c r="C158" s="1" t="s">
        <v>3</v>
      </c>
      <c r="D158" s="1" t="s">
        <v>3</v>
      </c>
      <c r="E158" s="1" t="s">
        <v>3</v>
      </c>
      <c r="F158" s="1" t="s">
        <v>3</v>
      </c>
      <c r="G158" s="1" t="s">
        <v>3</v>
      </c>
      <c r="H158" s="1" t="s">
        <v>3</v>
      </c>
      <c r="I158" s="1" t="s">
        <v>3</v>
      </c>
      <c r="J158" s="1" t="s">
        <v>3</v>
      </c>
      <c r="K158" s="1" t="s">
        <v>3</v>
      </c>
      <c r="L158" s="1" t="s">
        <v>3</v>
      </c>
      <c r="M158" s="1" t="s">
        <v>3</v>
      </c>
      <c r="N158" s="1" t="s">
        <v>3</v>
      </c>
      <c r="O158" s="1" t="s">
        <v>3</v>
      </c>
      <c r="P158" s="1" t="s">
        <v>3</v>
      </c>
      <c r="Q158" s="1" t="s">
        <v>3</v>
      </c>
      <c r="R158" s="1" t="s">
        <v>3</v>
      </c>
      <c r="S158" s="1" t="s">
        <v>3</v>
      </c>
      <c r="T158" s="1" t="s">
        <v>3</v>
      </c>
      <c r="U158" t="e">
        <f t="shared" si="14"/>
        <v>#VALUE!</v>
      </c>
      <c r="V158" t="e">
        <f t="shared" si="15"/>
        <v>#VALUE!</v>
      </c>
      <c r="W158" t="e">
        <f t="shared" si="16"/>
        <v>#VALUE!</v>
      </c>
      <c r="X158" t="e">
        <f t="shared" si="17"/>
        <v>#VALUE!</v>
      </c>
      <c r="Y158" t="e">
        <f t="shared" si="18"/>
        <v>#VALUE!</v>
      </c>
      <c r="Z158" t="e">
        <f t="shared" si="19"/>
        <v>#VALUE!</v>
      </c>
      <c r="AA158" t="e">
        <f t="shared" si="20"/>
        <v>#VALUE!</v>
      </c>
    </row>
    <row r="159" spans="1:27" x14ac:dyDescent="0.35">
      <c r="A159" s="1" t="s">
        <v>3</v>
      </c>
      <c r="B159" s="1" t="s">
        <v>3</v>
      </c>
      <c r="C159" s="1" t="s">
        <v>3</v>
      </c>
      <c r="D159" s="1" t="s">
        <v>3</v>
      </c>
      <c r="E159" s="1" t="s">
        <v>3</v>
      </c>
      <c r="F159" s="1" t="s">
        <v>3</v>
      </c>
      <c r="G159" s="1" t="s">
        <v>3</v>
      </c>
      <c r="H159" s="1" t="s">
        <v>3</v>
      </c>
      <c r="I159" s="1" t="s">
        <v>3</v>
      </c>
      <c r="J159" s="1" t="s">
        <v>3</v>
      </c>
      <c r="K159" s="1" t="s">
        <v>3</v>
      </c>
      <c r="L159" s="1" t="s">
        <v>3</v>
      </c>
      <c r="M159" s="1" t="s">
        <v>3</v>
      </c>
      <c r="N159" s="1" t="s">
        <v>3</v>
      </c>
      <c r="O159" s="1" t="s">
        <v>3</v>
      </c>
      <c r="P159" s="1" t="s">
        <v>3</v>
      </c>
      <c r="Q159" s="1" t="s">
        <v>3</v>
      </c>
      <c r="R159" s="1" t="s">
        <v>3</v>
      </c>
      <c r="S159" s="1" t="s">
        <v>3</v>
      </c>
      <c r="T159" s="1" t="s">
        <v>3</v>
      </c>
      <c r="U159" t="e">
        <f t="shared" si="14"/>
        <v>#VALUE!</v>
      </c>
      <c r="V159" t="e">
        <f t="shared" si="15"/>
        <v>#VALUE!</v>
      </c>
      <c r="W159" t="e">
        <f t="shared" si="16"/>
        <v>#VALUE!</v>
      </c>
      <c r="X159" t="e">
        <f t="shared" si="17"/>
        <v>#VALUE!</v>
      </c>
      <c r="Y159" t="e">
        <f t="shared" si="18"/>
        <v>#VALUE!</v>
      </c>
      <c r="Z159" t="e">
        <f t="shared" si="19"/>
        <v>#VALUE!</v>
      </c>
      <c r="AA159" t="e">
        <f t="shared" si="20"/>
        <v>#VALUE!</v>
      </c>
    </row>
    <row r="160" spans="1:27" x14ac:dyDescent="0.35">
      <c r="A160" s="1" t="s">
        <v>3</v>
      </c>
      <c r="B160" s="1" t="s">
        <v>3</v>
      </c>
      <c r="C160" s="1" t="s">
        <v>3</v>
      </c>
      <c r="D160" s="1" t="s">
        <v>3</v>
      </c>
      <c r="E160" s="1" t="s">
        <v>3</v>
      </c>
      <c r="F160" s="1" t="s">
        <v>3</v>
      </c>
      <c r="G160" s="1" t="s">
        <v>3</v>
      </c>
      <c r="H160" s="1" t="s">
        <v>3</v>
      </c>
      <c r="I160" s="1" t="s">
        <v>3</v>
      </c>
      <c r="J160" s="1" t="s">
        <v>3</v>
      </c>
      <c r="K160" s="1" t="s">
        <v>3</v>
      </c>
      <c r="L160" s="1" t="s">
        <v>3</v>
      </c>
      <c r="M160" s="1" t="s">
        <v>3</v>
      </c>
      <c r="N160" s="1" t="s">
        <v>3</v>
      </c>
      <c r="O160" s="1" t="s">
        <v>3</v>
      </c>
      <c r="P160" s="1" t="s">
        <v>3</v>
      </c>
      <c r="Q160" s="1" t="s">
        <v>3</v>
      </c>
      <c r="R160" s="1" t="s">
        <v>3</v>
      </c>
      <c r="S160" s="1" t="s">
        <v>3</v>
      </c>
      <c r="T160" s="1" t="s">
        <v>3</v>
      </c>
      <c r="U160" t="e">
        <f t="shared" si="14"/>
        <v>#VALUE!</v>
      </c>
      <c r="V160" t="e">
        <f t="shared" si="15"/>
        <v>#VALUE!</v>
      </c>
      <c r="W160" t="e">
        <f t="shared" si="16"/>
        <v>#VALUE!</v>
      </c>
      <c r="X160" t="e">
        <f t="shared" si="17"/>
        <v>#VALUE!</v>
      </c>
      <c r="Y160" t="e">
        <f t="shared" si="18"/>
        <v>#VALUE!</v>
      </c>
      <c r="Z160" t="e">
        <f t="shared" si="19"/>
        <v>#VALUE!</v>
      </c>
      <c r="AA160" t="e">
        <f t="shared" si="20"/>
        <v>#VALUE!</v>
      </c>
    </row>
    <row r="161" spans="1:27" x14ac:dyDescent="0.35">
      <c r="A161" s="1" t="s">
        <v>3</v>
      </c>
      <c r="B161" s="1" t="s">
        <v>3</v>
      </c>
      <c r="C161" s="1" t="s">
        <v>3</v>
      </c>
      <c r="D161" s="1" t="s">
        <v>3</v>
      </c>
      <c r="E161" s="1" t="s">
        <v>3</v>
      </c>
      <c r="F161" s="1" t="s">
        <v>3</v>
      </c>
      <c r="G161" s="1" t="s">
        <v>3</v>
      </c>
      <c r="H161" s="1" t="s">
        <v>3</v>
      </c>
      <c r="I161" s="1" t="s">
        <v>3</v>
      </c>
      <c r="J161" s="1" t="s">
        <v>3</v>
      </c>
      <c r="K161" s="1" t="s">
        <v>3</v>
      </c>
      <c r="L161" s="1" t="s">
        <v>3</v>
      </c>
      <c r="M161" s="1" t="s">
        <v>3</v>
      </c>
      <c r="N161" s="1" t="s">
        <v>3</v>
      </c>
      <c r="O161" s="1" t="s">
        <v>3</v>
      </c>
      <c r="P161" s="1" t="s">
        <v>3</v>
      </c>
      <c r="Q161" s="1" t="s">
        <v>3</v>
      </c>
      <c r="R161" s="1" t="s">
        <v>3</v>
      </c>
      <c r="S161" s="1" t="s">
        <v>3</v>
      </c>
      <c r="T161" s="1" t="s">
        <v>3</v>
      </c>
      <c r="U161" t="e">
        <f t="shared" si="14"/>
        <v>#VALUE!</v>
      </c>
      <c r="V161" t="e">
        <f t="shared" si="15"/>
        <v>#VALUE!</v>
      </c>
      <c r="W161" t="e">
        <f t="shared" si="16"/>
        <v>#VALUE!</v>
      </c>
      <c r="X161" t="e">
        <f t="shared" si="17"/>
        <v>#VALUE!</v>
      </c>
      <c r="Y161" t="e">
        <f t="shared" si="18"/>
        <v>#VALUE!</v>
      </c>
      <c r="Z161" t="e">
        <f t="shared" si="19"/>
        <v>#VALUE!</v>
      </c>
      <c r="AA161" t="e">
        <f t="shared" si="20"/>
        <v>#VALUE!</v>
      </c>
    </row>
    <row r="162" spans="1:27" x14ac:dyDescent="0.35">
      <c r="A162" s="1" t="s">
        <v>3</v>
      </c>
      <c r="B162" s="1" t="s">
        <v>3</v>
      </c>
      <c r="C162" s="1" t="s">
        <v>3</v>
      </c>
      <c r="D162" s="1" t="s">
        <v>3</v>
      </c>
      <c r="E162" s="1" t="s">
        <v>3</v>
      </c>
      <c r="F162" s="1" t="s">
        <v>3</v>
      </c>
      <c r="G162" s="1" t="s">
        <v>3</v>
      </c>
      <c r="H162" s="1" t="s">
        <v>3</v>
      </c>
      <c r="I162" s="1" t="s">
        <v>3</v>
      </c>
      <c r="J162" s="1" t="s">
        <v>3</v>
      </c>
      <c r="K162" s="1" t="s">
        <v>3</v>
      </c>
      <c r="L162" s="1" t="s">
        <v>3</v>
      </c>
      <c r="M162" s="1" t="s">
        <v>3</v>
      </c>
      <c r="N162" s="1" t="s">
        <v>3</v>
      </c>
      <c r="O162" s="1" t="s">
        <v>3</v>
      </c>
      <c r="P162" s="1" t="s">
        <v>3</v>
      </c>
      <c r="Q162" s="1" t="s">
        <v>3</v>
      </c>
      <c r="R162" s="1" t="s">
        <v>3</v>
      </c>
      <c r="S162" s="1" t="s">
        <v>3</v>
      </c>
      <c r="T162" s="1" t="s">
        <v>3</v>
      </c>
      <c r="U162" t="e">
        <f t="shared" si="14"/>
        <v>#VALUE!</v>
      </c>
      <c r="V162" t="e">
        <f t="shared" si="15"/>
        <v>#VALUE!</v>
      </c>
      <c r="W162" t="e">
        <f t="shared" si="16"/>
        <v>#VALUE!</v>
      </c>
      <c r="X162" t="e">
        <f t="shared" si="17"/>
        <v>#VALUE!</v>
      </c>
      <c r="Y162" t="e">
        <f t="shared" si="18"/>
        <v>#VALUE!</v>
      </c>
      <c r="Z162" t="e">
        <f t="shared" si="19"/>
        <v>#VALUE!</v>
      </c>
      <c r="AA162" t="e">
        <f t="shared" si="20"/>
        <v>#VALUE!</v>
      </c>
    </row>
    <row r="163" spans="1:27" x14ac:dyDescent="0.35">
      <c r="A163" s="1" t="s">
        <v>3</v>
      </c>
      <c r="B163" s="1" t="s">
        <v>3</v>
      </c>
      <c r="C163" s="1" t="s">
        <v>3</v>
      </c>
      <c r="D163" s="1">
        <v>7.50779</v>
      </c>
      <c r="E163" s="1">
        <v>6.1272900000000003</v>
      </c>
      <c r="F163" s="1">
        <v>19.50375</v>
      </c>
      <c r="G163" s="1">
        <v>2.5542199999999999</v>
      </c>
      <c r="H163" s="1" t="s">
        <v>3</v>
      </c>
      <c r="I163" s="1">
        <v>9.5229999999999995E-2</v>
      </c>
      <c r="J163" s="1">
        <v>158803000000</v>
      </c>
      <c r="K163" s="1">
        <v>148332000000</v>
      </c>
      <c r="L163">
        <v>1557686000000</v>
      </c>
      <c r="M163">
        <v>71641000000</v>
      </c>
      <c r="N163">
        <v>406418000000</v>
      </c>
      <c r="O163" s="1">
        <v>65617000000</v>
      </c>
      <c r="P163" s="1">
        <v>95444000000</v>
      </c>
      <c r="Q163">
        <v>243770000000</v>
      </c>
      <c r="R163">
        <v>95438000000</v>
      </c>
      <c r="S163">
        <v>104072000000</v>
      </c>
      <c r="T163">
        <v>0.38241000000000003</v>
      </c>
      <c r="U163">
        <f t="shared" si="14"/>
        <v>0.90299202122693412</v>
      </c>
      <c r="V163">
        <f t="shared" si="15"/>
        <v>-4.1300883400783137</v>
      </c>
      <c r="W163">
        <f t="shared" si="16"/>
        <v>0.44222446757562173</v>
      </c>
      <c r="X163">
        <f t="shared" si="17"/>
        <v>0</v>
      </c>
      <c r="Y163">
        <f t="shared" si="18"/>
        <v>0</v>
      </c>
      <c r="Z163">
        <f t="shared" si="19"/>
        <v>0</v>
      </c>
      <c r="AA163">
        <f t="shared" si="20"/>
        <v>0</v>
      </c>
    </row>
    <row r="164" spans="1:27" x14ac:dyDescent="0.35">
      <c r="A164" s="1">
        <v>7.2242655159029798</v>
      </c>
      <c r="B164" s="1">
        <v>9.3826145027329506</v>
      </c>
      <c r="C164" s="1">
        <v>8.3280062825998993E-2</v>
      </c>
      <c r="D164" s="1">
        <v>13.636010000000001</v>
      </c>
      <c r="E164" s="1">
        <v>11.07273</v>
      </c>
      <c r="F164" s="1">
        <v>20.87848</v>
      </c>
      <c r="G164" s="1">
        <v>4.2477299999999998</v>
      </c>
      <c r="H164" s="1">
        <v>0.29052799070889901</v>
      </c>
      <c r="I164" s="1">
        <v>0.18242</v>
      </c>
      <c r="J164" s="1">
        <v>198023000000</v>
      </c>
      <c r="K164" s="1">
        <v>320255000000</v>
      </c>
      <c r="L164">
        <v>1755592000000</v>
      </c>
      <c r="M164">
        <v>126912000000</v>
      </c>
      <c r="N164">
        <v>481300000000</v>
      </c>
      <c r="O164" s="1">
        <v>119680000000</v>
      </c>
      <c r="P164" s="1">
        <v>194392000000</v>
      </c>
      <c r="Q164">
        <v>418864000000</v>
      </c>
      <c r="R164">
        <v>98609000000</v>
      </c>
      <c r="S164">
        <v>137965000000</v>
      </c>
      <c r="T164">
        <v>0.42574000000000001</v>
      </c>
      <c r="U164">
        <f t="shared" si="14"/>
        <v>1.3882475012282018</v>
      </c>
      <c r="V164">
        <f t="shared" si="15"/>
        <v>-3.9586316785449918</v>
      </c>
      <c r="W164">
        <f t="shared" si="16"/>
        <v>0.62659048002041473</v>
      </c>
      <c r="X164">
        <f t="shared" si="17"/>
        <v>0</v>
      </c>
      <c r="Y164">
        <f t="shared" si="18"/>
        <v>0</v>
      </c>
      <c r="Z164">
        <f t="shared" si="19"/>
        <v>0</v>
      </c>
      <c r="AA164">
        <f t="shared" si="20"/>
        <v>0</v>
      </c>
    </row>
    <row r="165" spans="1:27" x14ac:dyDescent="0.35">
      <c r="A165" s="1">
        <v>6.2066467210363099</v>
      </c>
      <c r="B165" s="1">
        <v>8.06565510689334</v>
      </c>
      <c r="C165" s="1">
        <v>7.9887146514244001E-2</v>
      </c>
      <c r="D165" s="1">
        <v>11.462619999999999</v>
      </c>
      <c r="E165" s="1">
        <v>9.3728200000000008</v>
      </c>
      <c r="F165" s="1">
        <v>14.71463</v>
      </c>
      <c r="G165" s="1">
        <v>2.7570299999999999</v>
      </c>
      <c r="H165" s="1">
        <v>0.318942075269877</v>
      </c>
      <c r="I165" s="1">
        <v>9.2280000000000001E-2</v>
      </c>
      <c r="J165" s="1">
        <v>152901000000</v>
      </c>
      <c r="K165" s="1">
        <v>150818000000</v>
      </c>
      <c r="L165">
        <v>1634290000000</v>
      </c>
      <c r="M165">
        <v>112343000000</v>
      </c>
      <c r="N165">
        <v>540588000000</v>
      </c>
      <c r="O165" s="1">
        <v>105199000000</v>
      </c>
      <c r="P165" s="1">
        <v>153179000000</v>
      </c>
      <c r="Q165">
        <v>236655000000</v>
      </c>
      <c r="R165">
        <v>85837000000</v>
      </c>
      <c r="S165">
        <v>135404000000</v>
      </c>
      <c r="T165">
        <v>7.5590000000000004E-2</v>
      </c>
      <c r="U165">
        <f t="shared" si="14"/>
        <v>1.3455230990647669</v>
      </c>
      <c r="V165">
        <f t="shared" si="15"/>
        <v>-4.0443856768300721</v>
      </c>
      <c r="W165">
        <f t="shared" si="16"/>
        <v>0.49232549302755324</v>
      </c>
      <c r="X165">
        <f t="shared" si="17"/>
        <v>0</v>
      </c>
      <c r="Y165">
        <f t="shared" si="18"/>
        <v>0</v>
      </c>
      <c r="Z165">
        <f t="shared" si="19"/>
        <v>0</v>
      </c>
      <c r="AA165">
        <f t="shared" si="20"/>
        <v>0</v>
      </c>
    </row>
    <row r="166" spans="1:27" x14ac:dyDescent="0.35">
      <c r="A166" s="1">
        <v>5.8286314367552396</v>
      </c>
      <c r="B166" s="1">
        <v>6.9456101060870896</v>
      </c>
      <c r="C166" s="1">
        <v>7.1718274399280996E-2</v>
      </c>
      <c r="D166" s="1">
        <v>5.1958099999999998</v>
      </c>
      <c r="E166" s="1">
        <v>4.5422500000000001</v>
      </c>
      <c r="F166" s="1">
        <v>18.803650000000001</v>
      </c>
      <c r="G166" s="1">
        <v>6.77285</v>
      </c>
      <c r="H166" s="1">
        <v>0.35500169975104001</v>
      </c>
      <c r="I166" s="1">
        <v>0.25226999999999999</v>
      </c>
      <c r="J166" s="1">
        <v>196963000000</v>
      </c>
      <c r="K166" s="1">
        <v>487119000000</v>
      </c>
      <c r="L166">
        <v>1930938000000</v>
      </c>
      <c r="M166">
        <v>118656000000</v>
      </c>
      <c r="N166">
        <v>632831000000</v>
      </c>
      <c r="O166" s="1">
        <v>103902000000</v>
      </c>
      <c r="P166" s="1">
        <v>87708000000</v>
      </c>
      <c r="Q166">
        <v>571500000000</v>
      </c>
      <c r="R166">
        <v>84381000000</v>
      </c>
      <c r="S166">
        <v>127846000000</v>
      </c>
      <c r="T166">
        <v>0.14077000000000001</v>
      </c>
      <c r="U166">
        <f t="shared" si="14"/>
        <v>1.522281818113203</v>
      </c>
      <c r="V166">
        <f t="shared" si="15"/>
        <v>-4.256141301829544</v>
      </c>
      <c r="W166">
        <f t="shared" si="16"/>
        <v>0.69948389435600722</v>
      </c>
      <c r="X166">
        <f t="shared" si="17"/>
        <v>0</v>
      </c>
      <c r="Y166">
        <f t="shared" si="18"/>
        <v>0</v>
      </c>
      <c r="Z166">
        <f t="shared" si="19"/>
        <v>0</v>
      </c>
      <c r="AA166">
        <f t="shared" si="20"/>
        <v>0</v>
      </c>
    </row>
    <row r="167" spans="1:27" x14ac:dyDescent="0.35">
      <c r="A167" s="1">
        <v>7.5084894981763304</v>
      </c>
      <c r="B167" s="1">
        <v>9.0800859338018398</v>
      </c>
      <c r="C167" s="1">
        <v>9.0991116887230994E-2</v>
      </c>
      <c r="D167" s="1">
        <v>17.383289999999999</v>
      </c>
      <c r="E167" s="1">
        <v>13.75174</v>
      </c>
      <c r="F167" s="1">
        <v>21.266960000000001</v>
      </c>
      <c r="G167" s="1">
        <v>5.0259999999999998</v>
      </c>
      <c r="H167" s="1">
        <v>0.50244879516669205</v>
      </c>
      <c r="I167" s="1">
        <v>0.20857999999999999</v>
      </c>
      <c r="J167" s="1">
        <v>-59968000000</v>
      </c>
      <c r="K167" s="1">
        <v>492794000000</v>
      </c>
      <c r="L167">
        <v>2362602000000</v>
      </c>
      <c r="M167">
        <v>176327000000</v>
      </c>
      <c r="N167">
        <v>1078642000000</v>
      </c>
      <c r="O167" s="1">
        <v>161190000000</v>
      </c>
      <c r="P167" s="1">
        <v>324899000000</v>
      </c>
      <c r="Q167">
        <v>615197000000</v>
      </c>
      <c r="R167">
        <v>122403000000</v>
      </c>
      <c r="S167">
        <v>195337000000</v>
      </c>
      <c r="T167">
        <v>0.18975</v>
      </c>
      <c r="U167">
        <f t="shared" si="14"/>
        <v>1.6020411399012449</v>
      </c>
      <c r="V167">
        <f t="shared" si="15"/>
        <v>-3.8030618725867074</v>
      </c>
      <c r="W167">
        <f t="shared" si="16"/>
        <v>0.68368883205889097</v>
      </c>
      <c r="X167">
        <f t="shared" si="17"/>
        <v>0</v>
      </c>
      <c r="Y167">
        <f t="shared" si="18"/>
        <v>0</v>
      </c>
      <c r="Z167">
        <f t="shared" si="19"/>
        <v>0</v>
      </c>
      <c r="AA167">
        <f t="shared" si="20"/>
        <v>0</v>
      </c>
    </row>
    <row r="168" spans="1:27" x14ac:dyDescent="0.35">
      <c r="A168" s="1">
        <v>10.5411029221211</v>
      </c>
      <c r="B168" s="1">
        <v>13.3128133712082</v>
      </c>
      <c r="C168" s="1">
        <v>0.114694620596244</v>
      </c>
      <c r="D168" s="1">
        <v>13.495139999999999</v>
      </c>
      <c r="E168" s="1">
        <v>10.745039999999999</v>
      </c>
      <c r="F168" s="1">
        <v>14.19336</v>
      </c>
      <c r="G168" s="1">
        <v>5.2378799999999996</v>
      </c>
      <c r="H168" s="1">
        <v>0.48125771918902999</v>
      </c>
      <c r="I168" s="1">
        <v>0.2828</v>
      </c>
      <c r="J168" s="1">
        <v>361890000000</v>
      </c>
      <c r="K168" s="1">
        <v>748283000000</v>
      </c>
      <c r="L168">
        <v>2646020000000</v>
      </c>
      <c r="M168">
        <v>282130000000</v>
      </c>
      <c r="N168">
        <v>1205219000000</v>
      </c>
      <c r="O168" s="1">
        <v>263982000000</v>
      </c>
      <c r="P168" s="1">
        <v>284316000000</v>
      </c>
      <c r="Q168">
        <v>924853000000</v>
      </c>
      <c r="R168">
        <v>176570000000</v>
      </c>
      <c r="S168">
        <v>287231000000</v>
      </c>
      <c r="T168">
        <v>0.27550999999999998</v>
      </c>
      <c r="U168">
        <f t="shared" si="14"/>
        <v>1.8613000629342729</v>
      </c>
      <c r="V168">
        <f t="shared" si="15"/>
        <v>-4.1155265747711223</v>
      </c>
      <c r="W168">
        <f t="shared" si="16"/>
        <v>0.89472042010264485</v>
      </c>
      <c r="X168">
        <f t="shared" si="17"/>
        <v>0</v>
      </c>
      <c r="Y168">
        <f t="shared" si="18"/>
        <v>0</v>
      </c>
      <c r="Z168">
        <f t="shared" si="19"/>
        <v>0</v>
      </c>
      <c r="AA168">
        <f t="shared" si="20"/>
        <v>0</v>
      </c>
    </row>
    <row r="169" spans="1:27" x14ac:dyDescent="0.35">
      <c r="A169">
        <v>6.9607739398888198</v>
      </c>
      <c r="B169" s="1">
        <v>9.2888016298863008</v>
      </c>
      <c r="C169">
        <v>6.5181223292997997E-2</v>
      </c>
      <c r="D169">
        <v>11.443289999999999</v>
      </c>
      <c r="E169">
        <v>9.1848399999999994</v>
      </c>
      <c r="F169">
        <v>9.9887300000000003</v>
      </c>
      <c r="G169">
        <v>4.1717399999999998</v>
      </c>
      <c r="H169">
        <v>0.33732095785509503</v>
      </c>
      <c r="I169">
        <v>0.16736999999999999</v>
      </c>
      <c r="J169">
        <v>262542000000</v>
      </c>
      <c r="K169" s="1">
        <v>563121000000</v>
      </c>
      <c r="L169">
        <v>3364576000000</v>
      </c>
      <c r="M169">
        <v>223002000000</v>
      </c>
      <c r="N169">
        <v>1013750000000</v>
      </c>
      <c r="O169">
        <v>209192000000</v>
      </c>
      <c r="P169">
        <v>309031000000</v>
      </c>
      <c r="Q169">
        <v>740664000000</v>
      </c>
      <c r="R169">
        <v>177543000000</v>
      </c>
      <c r="S169">
        <v>195889000000</v>
      </c>
      <c r="T169">
        <v>0.26140000000000002</v>
      </c>
      <c r="U169">
        <f t="shared" si="14"/>
        <v>1.3006372098442578</v>
      </c>
      <c r="V169">
        <f t="shared" si="15"/>
        <v>-4.0395638252392114</v>
      </c>
      <c r="W169">
        <f t="shared" si="16"/>
        <v>0.53233563753649793</v>
      </c>
      <c r="X169">
        <f t="shared" si="17"/>
        <v>0</v>
      </c>
      <c r="Y169">
        <f t="shared" si="18"/>
        <v>0</v>
      </c>
      <c r="Z169">
        <f t="shared" si="19"/>
        <v>0</v>
      </c>
      <c r="AA169">
        <f t="shared" si="20"/>
        <v>0</v>
      </c>
    </row>
    <row r="170" spans="1:27" x14ac:dyDescent="0.35">
      <c r="A170" s="1">
        <v>5.3747333014239</v>
      </c>
      <c r="B170" s="1">
        <v>10.346280203251</v>
      </c>
      <c r="C170" s="1">
        <v>3.0762099224086001E-2</v>
      </c>
      <c r="D170" s="1">
        <v>11.90367</v>
      </c>
      <c r="E170" s="1">
        <v>6.0165100000000002</v>
      </c>
      <c r="F170" s="1">
        <v>5.6538500000000003</v>
      </c>
      <c r="G170" s="1">
        <v>1.16459</v>
      </c>
      <c r="H170" s="1">
        <v>0.16993701119159499</v>
      </c>
      <c r="I170" s="1">
        <v>5.1029999999999999E-2</v>
      </c>
      <c r="J170" s="1">
        <v>-158957497000</v>
      </c>
      <c r="K170" s="1">
        <v>129744978872</v>
      </c>
      <c r="L170" s="1">
        <v>2542624318000</v>
      </c>
      <c r="M170" s="1">
        <v>125820143000</v>
      </c>
      <c r="N170" s="1">
        <v>319788858000</v>
      </c>
      <c r="O170" s="1">
        <v>101142171000</v>
      </c>
      <c r="P170" s="1">
        <v>152977160000</v>
      </c>
      <c r="Q170" s="1">
        <v>918020285872</v>
      </c>
      <c r="R170" s="1">
        <v>788275307000</v>
      </c>
      <c r="S170" s="1">
        <v>57888370000</v>
      </c>
      <c r="T170" s="1">
        <v>-3.2599999999999997E-2</v>
      </c>
      <c r="U170">
        <f t="shared" si="14"/>
        <v>0.27810806145460815</v>
      </c>
      <c r="V170">
        <f t="shared" si="15"/>
        <v>-4.131404689118261</v>
      </c>
      <c r="W170">
        <f t="shared" si="16"/>
        <v>0.21933208281413127</v>
      </c>
      <c r="X170">
        <f t="shared" si="17"/>
        <v>1</v>
      </c>
      <c r="Y170">
        <f t="shared" si="18"/>
        <v>0</v>
      </c>
      <c r="Z170">
        <f t="shared" si="19"/>
        <v>0</v>
      </c>
      <c r="AA170">
        <f t="shared" si="20"/>
        <v>0</v>
      </c>
    </row>
    <row r="171" spans="1:27" x14ac:dyDescent="0.35">
      <c r="A171" s="1">
        <v>2.84989825021096</v>
      </c>
      <c r="B171" s="1">
        <v>5.2711864109120201</v>
      </c>
      <c r="C171" s="1">
        <v>2.7866290895074999E-2</v>
      </c>
      <c r="D171" s="1">
        <v>11.46827</v>
      </c>
      <c r="E171" s="1">
        <v>6.5070300000000003</v>
      </c>
      <c r="F171" s="1">
        <v>6.44536</v>
      </c>
      <c r="G171" s="1">
        <v>2.6972399999999999</v>
      </c>
      <c r="H171" s="1">
        <v>0.15925779822539499</v>
      </c>
      <c r="I171" s="1">
        <v>0.60479000000000005</v>
      </c>
      <c r="J171" s="1">
        <v>-214361642467</v>
      </c>
      <c r="K171" s="1">
        <v>1448872609000</v>
      </c>
      <c r="L171" s="1">
        <v>2395677321000</v>
      </c>
      <c r="M171" s="1">
        <v>79346443000</v>
      </c>
      <c r="N171" s="1">
        <v>393231523000</v>
      </c>
      <c r="O171" s="1">
        <v>70368286000</v>
      </c>
      <c r="P171" s="1">
        <v>155887523000</v>
      </c>
      <c r="Q171" s="1">
        <v>2302536678000</v>
      </c>
      <c r="R171" s="1">
        <v>853664069000</v>
      </c>
      <c r="S171" s="1">
        <v>68806075000</v>
      </c>
      <c r="T171" s="1">
        <v>-6.3800000000000003E-3</v>
      </c>
      <c r="U171">
        <f t="shared" si="14"/>
        <v>0.83810562572993619</v>
      </c>
      <c r="V171">
        <f t="shared" si="15"/>
        <v>-4.0504887434316723</v>
      </c>
      <c r="W171">
        <f t="shared" si="16"/>
        <v>1.1531332537179366</v>
      </c>
      <c r="X171">
        <f t="shared" si="17"/>
        <v>1</v>
      </c>
      <c r="Y171">
        <f t="shared" si="18"/>
        <v>0</v>
      </c>
      <c r="Z171">
        <f t="shared" si="19"/>
        <v>0</v>
      </c>
      <c r="AA171">
        <f t="shared" si="20"/>
        <v>0</v>
      </c>
    </row>
    <row r="172" spans="1:27" x14ac:dyDescent="0.35">
      <c r="A172" s="1">
        <v>3.0734514385530498</v>
      </c>
      <c r="B172" s="1">
        <v>4.92271945789164</v>
      </c>
      <c r="C172" s="1">
        <v>4.2442428093006003E-2</v>
      </c>
      <c r="D172" s="1">
        <v>9.0263399999999994</v>
      </c>
      <c r="E172" s="1">
        <v>6.6412000000000004</v>
      </c>
      <c r="F172" s="1">
        <v>11.19783</v>
      </c>
      <c r="G172" s="1">
        <v>4.6404800000000002</v>
      </c>
      <c r="H172" s="1">
        <v>0.19302455154710699</v>
      </c>
      <c r="I172" s="1">
        <v>0.68010999999999999</v>
      </c>
      <c r="J172" s="1">
        <v>-887450533632</v>
      </c>
      <c r="K172" s="1">
        <v>3882063138411</v>
      </c>
      <c r="L172" s="1">
        <v>5708016471125</v>
      </c>
      <c r="M172" s="1">
        <v>234994880149</v>
      </c>
      <c r="N172" s="1">
        <v>782105930050</v>
      </c>
      <c r="O172" s="1">
        <v>124853067849</v>
      </c>
      <c r="P172" s="1">
        <v>379080876005</v>
      </c>
      <c r="Q172" s="1">
        <v>4948422985254</v>
      </c>
      <c r="R172" s="1">
        <v>1066359846843</v>
      </c>
      <c r="S172" s="1">
        <v>171970220530</v>
      </c>
      <c r="T172" s="1">
        <v>8.3199999999999993E-3</v>
      </c>
      <c r="U172">
        <f t="shared" si="14"/>
        <v>0.99325536289210548</v>
      </c>
      <c r="V172">
        <f t="shared" si="15"/>
        <v>-4.0013193685532853</v>
      </c>
      <c r="W172">
        <f t="shared" si="16"/>
        <v>1.2820820391850825</v>
      </c>
      <c r="X172">
        <f t="shared" si="17"/>
        <v>0</v>
      </c>
      <c r="Y172">
        <f t="shared" si="18"/>
        <v>0</v>
      </c>
      <c r="Z172">
        <f t="shared" si="19"/>
        <v>0</v>
      </c>
      <c r="AA172">
        <f t="shared" si="20"/>
        <v>0</v>
      </c>
    </row>
    <row r="173" spans="1:27" x14ac:dyDescent="0.35">
      <c r="A173" s="1">
        <v>3.9375916784210001</v>
      </c>
      <c r="B173" s="1">
        <v>6.2982291230365401</v>
      </c>
      <c r="C173" s="1">
        <v>3.1759381888447E-2</v>
      </c>
      <c r="D173" s="1">
        <v>22.205490000000001</v>
      </c>
      <c r="E173" s="1">
        <v>13.85703</v>
      </c>
      <c r="F173" s="1">
        <v>4.1534500000000003</v>
      </c>
      <c r="G173" s="1">
        <v>2.3520699999999999</v>
      </c>
      <c r="H173" s="1">
        <v>0.15008755854723499</v>
      </c>
      <c r="I173" s="1">
        <v>0.31064000000000003</v>
      </c>
      <c r="J173" s="1">
        <v>-1057406702136</v>
      </c>
      <c r="K173" s="1">
        <v>2589188428078</v>
      </c>
      <c r="L173" s="1">
        <v>8334991485092</v>
      </c>
      <c r="M173" s="1">
        <v>358326360260</v>
      </c>
      <c r="N173" s="1">
        <v>1053840389404</v>
      </c>
      <c r="O173" s="1">
        <v>276482168153</v>
      </c>
      <c r="P173" s="1">
        <v>1154982637068</v>
      </c>
      <c r="Q173" s="1">
        <v>4504174142023</v>
      </c>
      <c r="R173" s="1">
        <v>1914985713945</v>
      </c>
      <c r="S173" s="1">
        <v>222998626272</v>
      </c>
      <c r="T173" s="1">
        <v>3.8339999999999999E-2</v>
      </c>
      <c r="U173">
        <f t="shared" si="14"/>
        <v>0.57616786328791092</v>
      </c>
      <c r="V173">
        <f t="shared" si="15"/>
        <v>-3.6500114417407907</v>
      </c>
      <c r="W173">
        <f t="shared" si="16"/>
        <v>0.66116041862260566</v>
      </c>
      <c r="X173">
        <f t="shared" si="17"/>
        <v>1</v>
      </c>
      <c r="Y173">
        <f t="shared" si="18"/>
        <v>0</v>
      </c>
      <c r="Z173">
        <f t="shared" si="19"/>
        <v>0</v>
      </c>
      <c r="AA173">
        <f t="shared" si="20"/>
        <v>0</v>
      </c>
    </row>
    <row r="174" spans="1:27" x14ac:dyDescent="0.35">
      <c r="A174" s="1">
        <v>1.61562159290711</v>
      </c>
      <c r="B174" s="1">
        <v>2.89077426285378</v>
      </c>
      <c r="C174" s="1">
        <v>1.6990578610414999E-2</v>
      </c>
      <c r="D174" s="1">
        <v>53.720379999999999</v>
      </c>
      <c r="E174" s="1">
        <v>26.870280000000001</v>
      </c>
      <c r="F174" s="1">
        <v>4.5572699999999999</v>
      </c>
      <c r="G174" s="1">
        <v>1.6344099999999999</v>
      </c>
      <c r="H174" s="1">
        <v>0.106285029084173</v>
      </c>
      <c r="I174" s="1">
        <v>0.14788000000000001</v>
      </c>
      <c r="J174" s="1">
        <v>-365677947540</v>
      </c>
      <c r="K174" s="1">
        <v>1714310654482</v>
      </c>
      <c r="L174" s="1">
        <v>11592631487233</v>
      </c>
      <c r="M174" s="1">
        <v>203169353619</v>
      </c>
      <c r="N174" s="1">
        <v>1059003993596</v>
      </c>
      <c r="O174" s="1">
        <v>160977489847</v>
      </c>
      <c r="P174" s="1">
        <v>3114972239609</v>
      </c>
      <c r="Q174" s="1">
        <v>4416535817887</v>
      </c>
      <c r="R174" s="1">
        <v>2702225163405</v>
      </c>
      <c r="S174" s="1">
        <v>169290922315</v>
      </c>
      <c r="T174" s="1">
        <v>3.8980000000000001E-2</v>
      </c>
      <c r="U174">
        <f t="shared" si="14"/>
        <v>0.28331122739960213</v>
      </c>
      <c r="V174">
        <f t="shared" si="15"/>
        <v>-2.8243444170429752</v>
      </c>
      <c r="W174">
        <f t="shared" si="16"/>
        <v>0.35093279024229762</v>
      </c>
      <c r="X174">
        <f t="shared" si="17"/>
        <v>1</v>
      </c>
      <c r="Y174">
        <f t="shared" si="18"/>
        <v>0</v>
      </c>
      <c r="Z174">
        <f t="shared" si="19"/>
        <v>0</v>
      </c>
      <c r="AA174">
        <f t="shared" si="20"/>
        <v>0</v>
      </c>
    </row>
    <row r="175" spans="1:27" x14ac:dyDescent="0.35">
      <c r="A175" s="1">
        <v>1.8186801884672501</v>
      </c>
      <c r="B175" s="1">
        <v>3.6150029157222998</v>
      </c>
      <c r="C175" s="1">
        <v>1.7136523561835999E-2</v>
      </c>
      <c r="D175" s="1">
        <v>42.006039999999999</v>
      </c>
      <c r="E175" s="1">
        <v>25.801690000000001</v>
      </c>
      <c r="F175" s="1">
        <v>1.8585700000000001</v>
      </c>
      <c r="G175" s="1">
        <v>2.6282299999999998</v>
      </c>
      <c r="H175" s="1">
        <v>9.5443621116059002E-2</v>
      </c>
      <c r="I175" s="1">
        <v>0.20604</v>
      </c>
      <c r="J175" s="1">
        <v>-2207197158179</v>
      </c>
      <c r="K175" s="1">
        <v>3515887078259</v>
      </c>
      <c r="L175" s="1">
        <v>17064195774257</v>
      </c>
      <c r="M175" s="1">
        <v>225655068716</v>
      </c>
      <c r="N175" s="1">
        <v>1367555681767</v>
      </c>
      <c r="O175" s="1">
        <v>260588020024</v>
      </c>
      <c r="P175" s="1">
        <v>4402850254560</v>
      </c>
      <c r="Q175" s="1">
        <v>5675217463050</v>
      </c>
      <c r="R175" s="1">
        <v>2159330384791</v>
      </c>
      <c r="S175" s="1">
        <v>245539197787</v>
      </c>
      <c r="T175" s="1">
        <v>3.5400000000000001E-2</v>
      </c>
      <c r="U175">
        <f t="shared" si="14"/>
        <v>0.35742294972756222</v>
      </c>
      <c r="V175">
        <f t="shared" si="15"/>
        <v>-2.8875106437672953</v>
      </c>
      <c r="W175">
        <f t="shared" si="16"/>
        <v>0.44618907193584684</v>
      </c>
      <c r="X175">
        <f t="shared" si="17"/>
        <v>1</v>
      </c>
      <c r="Y175">
        <f t="shared" si="18"/>
        <v>0</v>
      </c>
      <c r="Z175">
        <f t="shared" si="19"/>
        <v>0</v>
      </c>
      <c r="AA175">
        <f t="shared" si="20"/>
        <v>0</v>
      </c>
    </row>
    <row r="176" spans="1:27" x14ac:dyDescent="0.35">
      <c r="A176" s="1">
        <v>1.60741914132006</v>
      </c>
      <c r="B176" s="1">
        <v>2.26728563180178</v>
      </c>
      <c r="C176" s="1">
        <v>1.9572750723365999E-2</v>
      </c>
      <c r="D176" s="1">
        <v>44.47766</v>
      </c>
      <c r="E176" s="1">
        <v>27.383109999999999</v>
      </c>
      <c r="F176" s="1">
        <v>4.7085900000000001</v>
      </c>
      <c r="G176" s="1">
        <v>1.34338</v>
      </c>
      <c r="H176" s="1">
        <v>0.110866337921719</v>
      </c>
      <c r="I176" s="1">
        <v>8.1240000000000007E-2</v>
      </c>
      <c r="J176" s="1">
        <v>-1268897243390</v>
      </c>
      <c r="K176" s="1">
        <v>1438599168026</v>
      </c>
      <c r="L176" s="1">
        <v>17707949598417</v>
      </c>
      <c r="M176" s="1">
        <v>382802193626</v>
      </c>
      <c r="N176" s="1">
        <v>1927530209575</v>
      </c>
      <c r="O176" s="1">
        <v>279467060284</v>
      </c>
      <c r="P176" s="1">
        <v>4848986771937</v>
      </c>
      <c r="Q176" s="1">
        <v>5628083620180</v>
      </c>
      <c r="R176" s="1">
        <v>4189484452154</v>
      </c>
      <c r="S176" s="1">
        <v>340293266748</v>
      </c>
      <c r="T176" s="1">
        <v>5.5870000000000003E-2</v>
      </c>
      <c r="U176">
        <f t="shared" si="14"/>
        <v>0.24651969842946647</v>
      </c>
      <c r="V176">
        <f t="shared" si="15"/>
        <v>-2.804808422929939</v>
      </c>
      <c r="W176">
        <f t="shared" si="16"/>
        <v>0.25671360097691842</v>
      </c>
      <c r="X176">
        <f t="shared" si="17"/>
        <v>1</v>
      </c>
      <c r="Y176">
        <f t="shared" si="18"/>
        <v>0</v>
      </c>
      <c r="Z176">
        <f t="shared" si="19"/>
        <v>0</v>
      </c>
      <c r="AA176">
        <f t="shared" si="20"/>
        <v>0</v>
      </c>
    </row>
    <row r="177" spans="1:27" x14ac:dyDescent="0.35">
      <c r="A177" s="1">
        <v>-5.4077275340977202</v>
      </c>
      <c r="B177" s="1">
        <v>-12.6592137773165</v>
      </c>
      <c r="C177" s="1">
        <v>3.6998529638436001E-2</v>
      </c>
      <c r="D177" s="1">
        <v>36.594679999999997</v>
      </c>
      <c r="E177" s="1">
        <v>22.011659999999999</v>
      </c>
      <c r="F177" s="1">
        <v>3.7513200000000002</v>
      </c>
      <c r="G177" s="1">
        <v>0.85599000000000003</v>
      </c>
      <c r="H177" s="1">
        <v>0.17906891543553299</v>
      </c>
      <c r="I177" s="1">
        <v>-4.2259999999999999E-2</v>
      </c>
      <c r="J177" s="1">
        <v>817470902679</v>
      </c>
      <c r="K177" s="1">
        <v>-643794275563</v>
      </c>
      <c r="L177" s="1">
        <v>15235632983194</v>
      </c>
      <c r="M177" s="1">
        <v>-731602234226</v>
      </c>
      <c r="N177" s="1">
        <v>2949585801725</v>
      </c>
      <c r="O177" s="1">
        <v>-890749592992</v>
      </c>
      <c r="P177" s="1">
        <v>3353615107258</v>
      </c>
      <c r="Q177" s="1">
        <v>3826637618331</v>
      </c>
      <c r="R177" s="1">
        <v>4470431893894</v>
      </c>
      <c r="S177" s="1">
        <v>609432058271</v>
      </c>
      <c r="T177" s="1">
        <v>-1.397E-2</v>
      </c>
      <c r="U177">
        <f t="shared" si="14"/>
        <v>4.8705625885024126E-2</v>
      </c>
      <c r="V177">
        <f t="shared" si="15"/>
        <v>-2.7788196589717002</v>
      </c>
      <c r="W177">
        <f t="shared" si="16"/>
        <v>0.12250395243102281</v>
      </c>
      <c r="X177">
        <f t="shared" si="17"/>
        <v>1</v>
      </c>
      <c r="Y177">
        <f t="shared" si="18"/>
        <v>0</v>
      </c>
      <c r="Z177">
        <f t="shared" si="19"/>
        <v>0</v>
      </c>
      <c r="AA177">
        <f t="shared" si="20"/>
        <v>0</v>
      </c>
    </row>
    <row r="178" spans="1:27" x14ac:dyDescent="0.35">
      <c r="A178" s="1">
        <v>-1.4632108515759099</v>
      </c>
      <c r="B178" s="1">
        <v>-2.7815158294441402</v>
      </c>
      <c r="C178" s="1">
        <v>8.5915809963224996E-2</v>
      </c>
      <c r="D178" s="1">
        <v>49.159419999999997</v>
      </c>
      <c r="E178" s="1">
        <v>28.63532</v>
      </c>
      <c r="F178" s="1">
        <v>4.1088500000000003</v>
      </c>
      <c r="G178" s="1">
        <v>0.63170999999999999</v>
      </c>
      <c r="H178" s="1">
        <v>0.23242385096847801</v>
      </c>
      <c r="I178" s="1">
        <v>-0.13159000000000001</v>
      </c>
      <c r="J178" s="1">
        <v>282075455970</v>
      </c>
      <c r="K178" s="1">
        <v>-1618717945882</v>
      </c>
      <c r="L178" s="1">
        <v>12301124419066</v>
      </c>
      <c r="M178" s="1">
        <v>-36702118974</v>
      </c>
      <c r="N178" s="1">
        <v>3200099599309</v>
      </c>
      <c r="O178" s="1">
        <v>-201460411241</v>
      </c>
      <c r="P178" s="1">
        <v>3522465782140</v>
      </c>
      <c r="Q178" s="1">
        <v>2776534225378</v>
      </c>
      <c r="R178" s="1">
        <v>4395252171260</v>
      </c>
      <c r="S178" s="1">
        <v>1182921407988</v>
      </c>
      <c r="T178" s="1">
        <v>-3.6080000000000001E-2</v>
      </c>
      <c r="U178">
        <f t="shared" si="14"/>
        <v>0.2582312165877837</v>
      </c>
      <c r="V178">
        <f t="shared" si="15"/>
        <v>-2.5915618790488297</v>
      </c>
      <c r="W178">
        <f t="shared" si="16"/>
        <v>0.16695389115889395</v>
      </c>
      <c r="X178">
        <f t="shared" si="17"/>
        <v>1</v>
      </c>
      <c r="Y178">
        <f t="shared" si="18"/>
        <v>0</v>
      </c>
      <c r="Z178">
        <f t="shared" si="19"/>
        <v>0</v>
      </c>
      <c r="AA178">
        <f t="shared" si="20"/>
        <v>0</v>
      </c>
    </row>
    <row r="179" spans="1:27" x14ac:dyDescent="0.35">
      <c r="A179" s="1">
        <v>3.4100790063235702</v>
      </c>
      <c r="B179" s="1">
        <v>6.3032618108670802</v>
      </c>
      <c r="C179" s="1">
        <v>3.7745390219912002E-2</v>
      </c>
      <c r="D179" s="1">
        <v>55.015079999999998</v>
      </c>
      <c r="E179" s="1">
        <v>28.43638</v>
      </c>
      <c r="F179" s="1">
        <v>0.79837999999999998</v>
      </c>
      <c r="G179" s="1">
        <v>0.9163</v>
      </c>
      <c r="H179" s="1">
        <v>0.116999291387808</v>
      </c>
      <c r="I179" s="1">
        <v>-3.0419999999999999E-2</v>
      </c>
      <c r="J179" s="1">
        <v>138091393268</v>
      </c>
      <c r="K179" s="1">
        <v>-447316192483</v>
      </c>
      <c r="L179" s="1">
        <v>14706683713653</v>
      </c>
      <c r="M179" s="1">
        <v>536756076263</v>
      </c>
      <c r="N179" s="1">
        <v>1579947206733</v>
      </c>
      <c r="O179" s="1">
        <v>460493797601</v>
      </c>
      <c r="P179" s="1">
        <v>4182048189991</v>
      </c>
      <c r="Q179" s="1">
        <v>4896878148541</v>
      </c>
      <c r="R179" s="1">
        <v>5344194341024</v>
      </c>
      <c r="S179" s="1">
        <v>509710128477</v>
      </c>
      <c r="T179" s="1">
        <v>1.64E-3</v>
      </c>
      <c r="U179">
        <f t="shared" si="14"/>
        <v>0.18433376355002873</v>
      </c>
      <c r="V179">
        <f t="shared" si="15"/>
        <v>-2.8163646762734316</v>
      </c>
      <c r="W179">
        <f t="shared" si="16"/>
        <v>0.12529204190799198</v>
      </c>
      <c r="X179">
        <f t="shared" si="17"/>
        <v>1</v>
      </c>
      <c r="Y179">
        <f t="shared" si="18"/>
        <v>0</v>
      </c>
      <c r="Z179">
        <f t="shared" si="19"/>
        <v>0</v>
      </c>
      <c r="AA179">
        <f t="shared" si="20"/>
        <v>0</v>
      </c>
    </row>
    <row r="180" spans="1:27" x14ac:dyDescent="0.35">
      <c r="A180" s="1">
        <v>-5.2245049165062403</v>
      </c>
      <c r="B180" s="1">
        <v>-10.939378884603601</v>
      </c>
      <c r="C180" s="1">
        <v>-3.7788613120630001E-3</v>
      </c>
      <c r="D180" s="1">
        <v>72.988349999999997</v>
      </c>
      <c r="E180" s="1">
        <v>33.158580000000001</v>
      </c>
      <c r="F180" s="1">
        <v>-9.2979999999999993E-2</v>
      </c>
      <c r="G180" s="1">
        <v>0.76907999999999999</v>
      </c>
      <c r="H180" s="1">
        <v>9.4953574389928005E-2</v>
      </c>
      <c r="I180" s="1">
        <v>-0.10100000000000001</v>
      </c>
      <c r="J180" s="1">
        <v>113283072729</v>
      </c>
      <c r="K180" s="1">
        <v>-1483559097300</v>
      </c>
      <c r="L180" s="1">
        <v>14688816418463</v>
      </c>
      <c r="M180" s="1">
        <v>-710840699824</v>
      </c>
      <c r="N180" s="1">
        <v>1395603904262</v>
      </c>
      <c r="O180" s="1">
        <v>-767884674817</v>
      </c>
      <c r="P180" s="1">
        <v>4870602658085</v>
      </c>
      <c r="Q180" s="1">
        <v>4941122971996</v>
      </c>
      <c r="R180" s="1">
        <v>6424682069296</v>
      </c>
      <c r="S180" s="1">
        <v>-55540759099</v>
      </c>
      <c r="T180" s="1">
        <v>-4.7800000000000002E-2</v>
      </c>
      <c r="U180">
        <f t="shared" si="14"/>
        <v>-0.15065665890615107</v>
      </c>
      <c r="V180">
        <f t="shared" si="15"/>
        <v>-2.1716390036230449</v>
      </c>
      <c r="W180">
        <f t="shared" si="16"/>
        <v>-0.12335622025918649</v>
      </c>
      <c r="X180">
        <f t="shared" si="17"/>
        <v>1</v>
      </c>
      <c r="Y180">
        <f t="shared" si="18"/>
        <v>0</v>
      </c>
      <c r="Z180">
        <f t="shared" si="19"/>
        <v>1</v>
      </c>
      <c r="AA180">
        <f t="shared" si="20"/>
        <v>1</v>
      </c>
    </row>
    <row r="181" spans="1:27" x14ac:dyDescent="0.35">
      <c r="A181" s="1">
        <v>-3.90067811111689</v>
      </c>
      <c r="B181" s="1">
        <v>-8.9220749981137892</v>
      </c>
      <c r="C181" s="1">
        <v>1.1246171898603999E-2</v>
      </c>
      <c r="D181" s="1">
        <v>87.007930000000002</v>
      </c>
      <c r="E181" s="1">
        <v>39.274549999999998</v>
      </c>
      <c r="F181" s="1">
        <v>0.23174</v>
      </c>
      <c r="G181" s="1">
        <v>1.05114</v>
      </c>
      <c r="H181" s="1">
        <v>0.116599082999501</v>
      </c>
      <c r="I181" s="1">
        <v>2.181E-2</v>
      </c>
      <c r="J181" s="1">
        <v>-444344330131</v>
      </c>
      <c r="K181" s="1">
        <v>309246656972</v>
      </c>
      <c r="L181" s="1">
        <v>14176697750344</v>
      </c>
      <c r="M181" s="1">
        <v>-520866154792</v>
      </c>
      <c r="N181" s="1">
        <v>1682846241196</v>
      </c>
      <c r="O181" s="1">
        <v>-562975396422</v>
      </c>
      <c r="P181" s="1">
        <v>5567834039332</v>
      </c>
      <c r="Q181" s="1">
        <v>6356260638845</v>
      </c>
      <c r="R181" s="1">
        <v>6047013981873</v>
      </c>
      <c r="S181" s="1">
        <v>162313267142</v>
      </c>
      <c r="T181" s="1">
        <v>-8.8190000000000004E-2</v>
      </c>
      <c r="U181">
        <f t="shared" si="14"/>
        <v>4.8249709949100834E-2</v>
      </c>
      <c r="V181">
        <f t="shared" si="15"/>
        <v>-1.8784452267312379</v>
      </c>
      <c r="W181">
        <f t="shared" si="16"/>
        <v>0.13133069093871641</v>
      </c>
      <c r="X181">
        <f t="shared" si="17"/>
        <v>1</v>
      </c>
      <c r="Y181">
        <f t="shared" si="18"/>
        <v>0</v>
      </c>
      <c r="Z181">
        <f t="shared" si="19"/>
        <v>0</v>
      </c>
      <c r="AA181">
        <f t="shared" si="20"/>
        <v>0</v>
      </c>
    </row>
    <row r="182" spans="1:27" x14ac:dyDescent="0.35">
      <c r="A182" s="1">
        <v>-2.2636900885317002</v>
      </c>
      <c r="B182" s="1">
        <v>-5.4529066149423002</v>
      </c>
      <c r="C182" s="1">
        <v>1.2634442935339999E-3</v>
      </c>
      <c r="D182" s="1">
        <v>93.493459999999999</v>
      </c>
      <c r="E182" s="1">
        <v>40.91968</v>
      </c>
      <c r="F182" s="1">
        <v>4.6809999999999997E-2</v>
      </c>
      <c r="G182" s="1">
        <v>0.95321</v>
      </c>
      <c r="H182" s="1">
        <v>8.7704377438270004E-2</v>
      </c>
      <c r="I182" s="1">
        <v>-2.1760000000000002E-2</v>
      </c>
      <c r="J182" s="1">
        <v>-340684111969</v>
      </c>
      <c r="K182" s="1">
        <v>-306502537724</v>
      </c>
      <c r="L182" s="1">
        <v>14082517542900</v>
      </c>
      <c r="M182" s="1">
        <v>-293497780599</v>
      </c>
      <c r="N182" s="1">
        <v>1239228442094</v>
      </c>
      <c r="O182" s="1">
        <v>-319850527845</v>
      </c>
      <c r="P182" s="1">
        <v>5762521279634</v>
      </c>
      <c r="Q182" s="1">
        <v>6244406517111</v>
      </c>
      <c r="R182" s="1">
        <v>6550909054835</v>
      </c>
      <c r="S182" s="1">
        <v>17851972151</v>
      </c>
      <c r="T182" s="1">
        <v>-0.10806</v>
      </c>
      <c r="U182">
        <f t="shared" si="14"/>
        <v>-1.2896611582754097E-2</v>
      </c>
      <c r="V182">
        <f t="shared" si="15"/>
        <v>-1.8615586435129878</v>
      </c>
      <c r="W182">
        <f t="shared" si="16"/>
        <v>2.5039899036729221E-2</v>
      </c>
      <c r="X182">
        <f t="shared" si="17"/>
        <v>1</v>
      </c>
      <c r="Y182">
        <f t="shared" si="18"/>
        <v>0</v>
      </c>
      <c r="Z182">
        <f t="shared" si="19"/>
        <v>0</v>
      </c>
      <c r="AA182">
        <f t="shared" si="20"/>
        <v>0</v>
      </c>
    </row>
    <row r="183" spans="1:27" x14ac:dyDescent="0.35">
      <c r="A183" s="1">
        <v>19.753225866683199</v>
      </c>
      <c r="B183" s="1">
        <v>39.531685758989802</v>
      </c>
      <c r="C183" s="1">
        <v>-7.6424727747650004E-3</v>
      </c>
      <c r="D183" s="1">
        <v>16.88729</v>
      </c>
      <c r="E183" s="1">
        <v>11.988960000000001</v>
      </c>
      <c r="F183" s="1">
        <v>-0.67003999999999997</v>
      </c>
      <c r="G183" s="1">
        <v>1.9953399999999999</v>
      </c>
      <c r="H183" s="1">
        <v>7.9194001210153006E-2</v>
      </c>
      <c r="I183" s="1">
        <v>0.18598999999999999</v>
      </c>
      <c r="J183" s="1">
        <v>-58072766832</v>
      </c>
      <c r="K183" s="1">
        <v>2530627250170</v>
      </c>
      <c r="L183" s="1">
        <v>13606180006238</v>
      </c>
      <c r="M183" s="1">
        <v>2750074945281</v>
      </c>
      <c r="N183" s="1">
        <v>1096389373607</v>
      </c>
      <c r="O183" s="1">
        <v>2734705483212</v>
      </c>
      <c r="P183" s="1">
        <v>1631240036005</v>
      </c>
      <c r="Q183" s="1">
        <v>5073114948675</v>
      </c>
      <c r="R183" s="1">
        <v>2542487698505</v>
      </c>
      <c r="S183" s="1">
        <v>-105805058594</v>
      </c>
      <c r="T183" s="1">
        <v>9.0630000000000002E-2</v>
      </c>
      <c r="U183">
        <f t="shared" si="14"/>
        <v>0.91381697446953913</v>
      </c>
      <c r="V183">
        <f t="shared" si="15"/>
        <v>-4.5131024956063026</v>
      </c>
      <c r="W183">
        <f t="shared" si="16"/>
        <v>0.34063066116195934</v>
      </c>
      <c r="X183">
        <f t="shared" si="17"/>
        <v>0</v>
      </c>
      <c r="Y183">
        <f t="shared" si="18"/>
        <v>0</v>
      </c>
      <c r="Z183">
        <f t="shared" si="19"/>
        <v>0</v>
      </c>
      <c r="AA183">
        <f t="shared" si="20"/>
        <v>0</v>
      </c>
    </row>
    <row r="184" spans="1:27" x14ac:dyDescent="0.35">
      <c r="A184" s="1">
        <v>-6.2968886758298401</v>
      </c>
      <c r="B184" s="1">
        <v>-9.0329202834225804</v>
      </c>
      <c r="C184" s="1">
        <v>-2.5977759013018999E-2</v>
      </c>
      <c r="D184" s="1">
        <v>17.379670000000001</v>
      </c>
      <c r="E184" s="1">
        <v>12.41849</v>
      </c>
      <c r="F184" s="1">
        <v>-1.99135</v>
      </c>
      <c r="G184" s="1">
        <v>1.3060799999999999</v>
      </c>
      <c r="H184" s="1">
        <v>7.5382442585924997E-2</v>
      </c>
      <c r="I184" s="1">
        <v>6.0409999999999998E-2</v>
      </c>
      <c r="J184" s="1">
        <v>-11911000000</v>
      </c>
      <c r="K184" s="1">
        <v>744846000000</v>
      </c>
      <c r="L184" s="1">
        <v>12329520000000</v>
      </c>
      <c r="M184" s="1">
        <v>-802155134543</v>
      </c>
      <c r="N184" s="1">
        <v>977548208323</v>
      </c>
      <c r="O184" s="1">
        <v>-816571078345</v>
      </c>
      <c r="P184" s="1">
        <v>1531140000000</v>
      </c>
      <c r="Q184" s="1">
        <v>3178374000000</v>
      </c>
      <c r="R184" s="1">
        <v>2433528000000</v>
      </c>
      <c r="S184" s="1">
        <v>-336875682298</v>
      </c>
      <c r="T184" s="1">
        <v>4.199E-2</v>
      </c>
      <c r="U184">
        <f t="shared" si="14"/>
        <v>-0.20749608875734082</v>
      </c>
      <c r="V184">
        <f t="shared" si="15"/>
        <v>-3.2888916159527004</v>
      </c>
      <c r="W184">
        <f t="shared" si="16"/>
        <v>6.2613027936536697E-2</v>
      </c>
      <c r="X184">
        <f t="shared" si="17"/>
        <v>1</v>
      </c>
      <c r="Y184">
        <f t="shared" si="18"/>
        <v>0</v>
      </c>
      <c r="Z184">
        <f t="shared" si="19"/>
        <v>0</v>
      </c>
      <c r="AA184">
        <f t="shared" si="20"/>
        <v>0</v>
      </c>
    </row>
    <row r="185" spans="1:27" x14ac:dyDescent="0.35">
      <c r="A185" s="1">
        <v>-2.7024269824364402</v>
      </c>
      <c r="B185" s="1">
        <v>-3.2457270676675001</v>
      </c>
      <c r="C185" s="1">
        <v>-1.6695927405324999E-2</v>
      </c>
      <c r="D185" s="1">
        <v>17.43816</v>
      </c>
      <c r="E185" s="1">
        <v>12.441789999999999</v>
      </c>
      <c r="F185" s="1">
        <v>-1.5547200000000001</v>
      </c>
      <c r="G185" s="1">
        <v>1.0892299999999999</v>
      </c>
      <c r="H185" s="1">
        <v>5.1025721240911003E-2</v>
      </c>
      <c r="I185" s="1">
        <v>1.873E-2</v>
      </c>
      <c r="J185" s="1">
        <v>-54416000000</v>
      </c>
      <c r="K185" s="1">
        <v>221425000000</v>
      </c>
      <c r="L185" s="1">
        <v>11823436000000</v>
      </c>
      <c r="M185" s="1">
        <v>-317094000000</v>
      </c>
      <c r="N185" s="1">
        <v>616211000000</v>
      </c>
      <c r="O185" s="1">
        <v>-326358000000</v>
      </c>
      <c r="P185" s="1">
        <v>1471047000000</v>
      </c>
      <c r="Q185" s="1">
        <v>2702974000000</v>
      </c>
      <c r="R185" s="1">
        <v>2481549000000</v>
      </c>
      <c r="S185" s="1">
        <v>-201628000000</v>
      </c>
      <c r="T185" s="1">
        <v>1.9949999999999999E-2</v>
      </c>
      <c r="U185">
        <f t="shared" si="14"/>
        <v>-9.6552150154222458E-2</v>
      </c>
      <c r="V185">
        <f t="shared" si="15"/>
        <v>-3.4622492314553375</v>
      </c>
      <c r="W185">
        <f t="shared" si="16"/>
        <v>2.9409696301481224E-2</v>
      </c>
      <c r="X185">
        <f t="shared" si="17"/>
        <v>1</v>
      </c>
      <c r="Y185">
        <f t="shared" si="18"/>
        <v>0</v>
      </c>
      <c r="Z185">
        <f t="shared" si="19"/>
        <v>0</v>
      </c>
      <c r="AA185">
        <f t="shared" si="20"/>
        <v>0</v>
      </c>
    </row>
    <row r="186" spans="1:27" x14ac:dyDescent="0.35">
      <c r="A186" s="1">
        <v>-2.32744693504972</v>
      </c>
      <c r="B186" s="1">
        <v>-2.8188095049625499</v>
      </c>
      <c r="C186" s="1">
        <v>-1.2214269702249E-2</v>
      </c>
      <c r="D186" s="1">
        <v>17.538049999999998</v>
      </c>
      <c r="E186" s="1">
        <v>12.23278</v>
      </c>
      <c r="F186" s="1">
        <v>-1.18475</v>
      </c>
      <c r="G186" s="1">
        <v>1.0287299999999999</v>
      </c>
      <c r="H186" s="1">
        <v>6.6745122101215998E-2</v>
      </c>
      <c r="I186" s="1">
        <v>6.5599999999999999E-3</v>
      </c>
      <c r="J186" s="1">
        <v>13757000000</v>
      </c>
      <c r="K186" s="1">
        <v>76591000000</v>
      </c>
      <c r="L186" s="1">
        <v>11681203000000</v>
      </c>
      <c r="M186" s="1">
        <v>-257276000000</v>
      </c>
      <c r="N186" s="1">
        <v>784410000000</v>
      </c>
      <c r="O186" s="1">
        <v>-273529000000</v>
      </c>
      <c r="P186" s="1">
        <v>1428936000000</v>
      </c>
      <c r="Q186" s="1">
        <v>2742719000000</v>
      </c>
      <c r="R186" s="1">
        <v>2666128000000</v>
      </c>
      <c r="S186" s="1">
        <v>-143546000000</v>
      </c>
      <c r="T186" s="1">
        <v>2.9099999999999998E-3</v>
      </c>
      <c r="U186">
        <f t="shared" si="14"/>
        <v>-6.780070792269198E-2</v>
      </c>
      <c r="V186">
        <f t="shared" si="15"/>
        <v>-3.4932438126732528</v>
      </c>
      <c r="W186">
        <f t="shared" si="16"/>
        <v>2.5613515405904674E-2</v>
      </c>
      <c r="X186">
        <f t="shared" si="17"/>
        <v>1</v>
      </c>
      <c r="Y186">
        <f t="shared" si="18"/>
        <v>0</v>
      </c>
      <c r="Z186">
        <f t="shared" si="19"/>
        <v>0</v>
      </c>
      <c r="AA186">
        <f t="shared" si="20"/>
        <v>0</v>
      </c>
    </row>
    <row r="187" spans="1:27" x14ac:dyDescent="0.35">
      <c r="A187" s="1">
        <v>-7.3130943193276199</v>
      </c>
      <c r="B187" s="1">
        <v>-3.5687141018608601</v>
      </c>
      <c r="C187" s="1">
        <v>-7.112313218887E-3</v>
      </c>
      <c r="D187" s="1">
        <v>10.390319999999999</v>
      </c>
      <c r="E187" s="1">
        <v>7.5902000000000003</v>
      </c>
      <c r="F187" s="1">
        <v>-0.74631999999999998</v>
      </c>
      <c r="G187" s="1">
        <v>1.26013</v>
      </c>
      <c r="H187" s="1">
        <v>9.5137585390314999E-2</v>
      </c>
      <c r="I187" s="1">
        <v>5.5550000000000002E-2</v>
      </c>
      <c r="J187" s="1">
        <v>90075000000</v>
      </c>
      <c r="K187" s="1">
        <v>550660000000</v>
      </c>
      <c r="L187">
        <v>9913459000000</v>
      </c>
      <c r="M187">
        <v>-774684000000</v>
      </c>
      <c r="N187">
        <v>1027232000000</v>
      </c>
      <c r="O187" s="1">
        <v>-789619000000</v>
      </c>
      <c r="P187" s="1">
        <v>752451000000</v>
      </c>
      <c r="Q187">
        <v>2667546000000</v>
      </c>
      <c r="R187">
        <v>2116886000000</v>
      </c>
      <c r="S187">
        <v>-76794000000</v>
      </c>
      <c r="T187">
        <v>-2.1250000000000002E-2</v>
      </c>
      <c r="U187">
        <f t="shared" si="14"/>
        <v>-0.166650466365724</v>
      </c>
      <c r="V187">
        <f t="shared" si="15"/>
        <v>-3.5038878574775776</v>
      </c>
      <c r="W187">
        <f t="shared" si="16"/>
        <v>0.12100877029904496</v>
      </c>
      <c r="X187">
        <f t="shared" si="17"/>
        <v>1</v>
      </c>
      <c r="Y187">
        <f t="shared" si="18"/>
        <v>0</v>
      </c>
      <c r="Z187">
        <f t="shared" si="19"/>
        <v>0</v>
      </c>
      <c r="AA187">
        <f t="shared" si="20"/>
        <v>0</v>
      </c>
    </row>
    <row r="188" spans="1:27" x14ac:dyDescent="0.35">
      <c r="A188" s="1">
        <v>-12.1014016861975</v>
      </c>
      <c r="B188" s="1">
        <v>-17.520779901282499</v>
      </c>
      <c r="C188" s="1">
        <v>-1.6835671633038E-2</v>
      </c>
      <c r="D188" s="1">
        <v>11.045859999999999</v>
      </c>
      <c r="E188" s="1">
        <v>7.8393899999999999</v>
      </c>
      <c r="F188" s="1">
        <v>-2.0688599999999999</v>
      </c>
      <c r="G188" s="1">
        <v>1.214</v>
      </c>
      <c r="H188" s="1">
        <v>0.137274133012284</v>
      </c>
      <c r="I188" s="1">
        <v>4.9599999999999998E-2</v>
      </c>
      <c r="J188" s="1">
        <v>36273000000</v>
      </c>
      <c r="K188" s="1">
        <v>428528000000</v>
      </c>
      <c r="L188">
        <v>8639053000000</v>
      </c>
      <c r="M188">
        <v>-1101220000000</v>
      </c>
      <c r="N188">
        <v>1273390000000</v>
      </c>
      <c r="O188" s="1">
        <v>-1122557000000</v>
      </c>
      <c r="P188" s="1">
        <v>677249000000</v>
      </c>
      <c r="Q188">
        <v>2431035000000</v>
      </c>
      <c r="R188">
        <v>2002507000000</v>
      </c>
      <c r="S188">
        <v>-156172000000</v>
      </c>
      <c r="T188">
        <v>-0.14931</v>
      </c>
      <c r="U188">
        <f t="shared" si="14"/>
        <v>-0.30839400365710301</v>
      </c>
      <c r="V188">
        <f t="shared" si="15"/>
        <v>-3.2635696302913666</v>
      </c>
      <c r="W188">
        <f t="shared" si="16"/>
        <v>7.523125752324937E-2</v>
      </c>
      <c r="X188">
        <f t="shared" si="17"/>
        <v>1</v>
      </c>
      <c r="Y188">
        <f t="shared" si="18"/>
        <v>0</v>
      </c>
      <c r="Z188">
        <f t="shared" si="19"/>
        <v>0</v>
      </c>
      <c r="AA188">
        <f t="shared" si="20"/>
        <v>0</v>
      </c>
    </row>
    <row r="189" spans="1:27" x14ac:dyDescent="0.35">
      <c r="A189" s="1">
        <v>-1.1730923355121401</v>
      </c>
      <c r="B189" s="1">
        <v>-1.2261065070886501</v>
      </c>
      <c r="C189" s="1">
        <v>7.3148546090659999E-3</v>
      </c>
      <c r="D189" s="1">
        <v>13.363569999999999</v>
      </c>
      <c r="E189" s="1">
        <v>9.2089700000000008</v>
      </c>
      <c r="F189" s="1">
        <v>0.81842000000000004</v>
      </c>
      <c r="G189" s="1">
        <v>0.89142999999999994</v>
      </c>
      <c r="H189" s="1">
        <v>0.14115816805294501</v>
      </c>
      <c r="I189" s="1">
        <v>-2.2589999999999999E-2</v>
      </c>
      <c r="J189" s="1">
        <v>29913000000</v>
      </c>
      <c r="K189" s="1">
        <v>-197446000000</v>
      </c>
      <c r="L189">
        <v>8742017000000</v>
      </c>
      <c r="M189">
        <v>-83252000000</v>
      </c>
      <c r="N189">
        <v>1226740000000</v>
      </c>
      <c r="O189" s="1">
        <v>-101948000000</v>
      </c>
      <c r="P189" s="1">
        <v>805050000000</v>
      </c>
      <c r="Q189">
        <v>1621212000000</v>
      </c>
      <c r="R189">
        <v>1818658000000</v>
      </c>
      <c r="S189">
        <v>63570000000</v>
      </c>
      <c r="T189">
        <v>-0.15539</v>
      </c>
      <c r="U189">
        <f t="shared" si="14"/>
        <v>2.4979106967934404E-2</v>
      </c>
      <c r="V189">
        <f t="shared" si="15"/>
        <v>-3.7190445186236363</v>
      </c>
      <c r="W189">
        <f t="shared" si="16"/>
        <v>4.4299865923390448E-2</v>
      </c>
      <c r="X189">
        <f t="shared" si="17"/>
        <v>1</v>
      </c>
      <c r="Y189">
        <f t="shared" si="18"/>
        <v>0</v>
      </c>
      <c r="Z189">
        <f t="shared" si="19"/>
        <v>0</v>
      </c>
      <c r="AA189">
        <f t="shared" si="20"/>
        <v>0</v>
      </c>
    </row>
    <row r="190" spans="1:27" x14ac:dyDescent="0.35">
      <c r="A190" s="1" t="s">
        <v>3</v>
      </c>
      <c r="B190" s="1" t="s">
        <v>3</v>
      </c>
      <c r="C190" s="1" t="s">
        <v>3</v>
      </c>
      <c r="D190" s="1" t="s">
        <v>3</v>
      </c>
      <c r="E190" s="1" t="s">
        <v>3</v>
      </c>
      <c r="F190" s="1" t="s">
        <v>3</v>
      </c>
      <c r="G190" s="1" t="s">
        <v>3</v>
      </c>
      <c r="H190" s="1" t="s">
        <v>3</v>
      </c>
      <c r="I190" s="1" t="s">
        <v>3</v>
      </c>
      <c r="J190" s="1" t="s">
        <v>3</v>
      </c>
      <c r="K190" s="1" t="s">
        <v>3</v>
      </c>
      <c r="L190" s="1" t="s">
        <v>3</v>
      </c>
      <c r="M190" s="1" t="s">
        <v>3</v>
      </c>
      <c r="N190" s="1" t="s">
        <v>3</v>
      </c>
      <c r="O190" s="1" t="s">
        <v>3</v>
      </c>
      <c r="P190" s="1" t="s">
        <v>3</v>
      </c>
      <c r="Q190" s="1" t="s">
        <v>3</v>
      </c>
      <c r="R190" s="1" t="s">
        <v>3</v>
      </c>
      <c r="S190" s="1" t="s">
        <v>3</v>
      </c>
      <c r="T190" s="1" t="s">
        <v>3</v>
      </c>
      <c r="U190" t="e">
        <f t="shared" si="14"/>
        <v>#VALUE!</v>
      </c>
      <c r="V190" t="e">
        <f t="shared" si="15"/>
        <v>#VALUE!</v>
      </c>
      <c r="W190" t="e">
        <f t="shared" si="16"/>
        <v>#VALUE!</v>
      </c>
      <c r="X190" t="e">
        <f t="shared" si="17"/>
        <v>#VALUE!</v>
      </c>
      <c r="Y190" t="e">
        <f t="shared" si="18"/>
        <v>#VALUE!</v>
      </c>
      <c r="Z190" t="e">
        <f t="shared" si="19"/>
        <v>#VALUE!</v>
      </c>
      <c r="AA190" t="e">
        <f t="shared" si="20"/>
        <v>#VALUE!</v>
      </c>
    </row>
    <row r="191" spans="1:27" x14ac:dyDescent="0.35">
      <c r="A191" s="1" t="s">
        <v>3</v>
      </c>
      <c r="B191" s="1" t="s">
        <v>3</v>
      </c>
      <c r="C191" s="1" t="s">
        <v>3</v>
      </c>
      <c r="D191" s="1" t="s">
        <v>3</v>
      </c>
      <c r="E191" s="1" t="s">
        <v>3</v>
      </c>
      <c r="F191" s="1" t="s">
        <v>3</v>
      </c>
      <c r="G191" s="1" t="s">
        <v>3</v>
      </c>
      <c r="H191" s="1" t="s">
        <v>3</v>
      </c>
      <c r="I191" s="1" t="s">
        <v>3</v>
      </c>
      <c r="J191" s="1" t="s">
        <v>3</v>
      </c>
      <c r="K191" s="1" t="s">
        <v>3</v>
      </c>
      <c r="L191" s="1" t="s">
        <v>3</v>
      </c>
      <c r="M191" s="1" t="s">
        <v>3</v>
      </c>
      <c r="N191" s="1" t="s">
        <v>3</v>
      </c>
      <c r="O191" s="1" t="s">
        <v>3</v>
      </c>
      <c r="P191" s="1" t="s">
        <v>3</v>
      </c>
      <c r="Q191" s="1" t="s">
        <v>3</v>
      </c>
      <c r="R191" s="1" t="s">
        <v>3</v>
      </c>
      <c r="S191" s="1" t="s">
        <v>3</v>
      </c>
      <c r="T191" s="1" t="s">
        <v>3</v>
      </c>
      <c r="U191" t="e">
        <f t="shared" si="14"/>
        <v>#VALUE!</v>
      </c>
      <c r="V191" t="e">
        <f t="shared" si="15"/>
        <v>#VALUE!</v>
      </c>
      <c r="W191" t="e">
        <f t="shared" si="16"/>
        <v>#VALUE!</v>
      </c>
      <c r="X191" t="e">
        <f t="shared" si="17"/>
        <v>#VALUE!</v>
      </c>
      <c r="Y191" t="e">
        <f t="shared" si="18"/>
        <v>#VALUE!</v>
      </c>
      <c r="Z191" t="e">
        <f t="shared" si="19"/>
        <v>#VALUE!</v>
      </c>
      <c r="AA191" t="e">
        <f t="shared" si="20"/>
        <v>#VALUE!</v>
      </c>
    </row>
    <row r="192" spans="1:27" x14ac:dyDescent="0.35">
      <c r="A192" s="1" t="s">
        <v>3</v>
      </c>
      <c r="B192" s="1" t="s">
        <v>3</v>
      </c>
      <c r="C192" s="1" t="s">
        <v>3</v>
      </c>
      <c r="D192" s="1" t="s">
        <v>3</v>
      </c>
      <c r="E192" s="1" t="s">
        <v>3</v>
      </c>
      <c r="F192" s="1" t="s">
        <v>3</v>
      </c>
      <c r="G192" s="1" t="s">
        <v>3</v>
      </c>
      <c r="H192" s="1" t="s">
        <v>3</v>
      </c>
      <c r="I192" s="1" t="s">
        <v>3</v>
      </c>
      <c r="J192" s="1" t="s">
        <v>3</v>
      </c>
      <c r="K192" s="1" t="s">
        <v>3</v>
      </c>
      <c r="L192" s="1" t="s">
        <v>3</v>
      </c>
      <c r="M192" s="1" t="s">
        <v>3</v>
      </c>
      <c r="N192" s="1" t="s">
        <v>3</v>
      </c>
      <c r="O192" s="1" t="s">
        <v>3</v>
      </c>
      <c r="P192" s="1" t="s">
        <v>3</v>
      </c>
      <c r="Q192" s="1" t="s">
        <v>3</v>
      </c>
      <c r="R192" s="1" t="s">
        <v>3</v>
      </c>
      <c r="S192" s="1" t="s">
        <v>3</v>
      </c>
      <c r="T192" s="1" t="s">
        <v>3</v>
      </c>
      <c r="U192" t="e">
        <f t="shared" si="14"/>
        <v>#VALUE!</v>
      </c>
      <c r="V192" t="e">
        <f t="shared" si="15"/>
        <v>#VALUE!</v>
      </c>
      <c r="W192" t="e">
        <f t="shared" si="16"/>
        <v>#VALUE!</v>
      </c>
      <c r="X192" t="e">
        <f t="shared" si="17"/>
        <v>#VALUE!</v>
      </c>
      <c r="Y192" t="e">
        <f t="shared" si="18"/>
        <v>#VALUE!</v>
      </c>
      <c r="Z192" t="e">
        <f t="shared" si="19"/>
        <v>#VALUE!</v>
      </c>
      <c r="AA192" t="e">
        <f t="shared" si="20"/>
        <v>#VALUE!</v>
      </c>
    </row>
    <row r="193" spans="1:27" x14ac:dyDescent="0.35">
      <c r="A193" s="1" t="s">
        <v>3</v>
      </c>
      <c r="B193" s="1" t="s">
        <v>3</v>
      </c>
      <c r="C193" s="1" t="s">
        <v>3</v>
      </c>
      <c r="D193" s="1" t="s">
        <v>3</v>
      </c>
      <c r="E193" s="1">
        <v>58.002319999999997</v>
      </c>
      <c r="F193" s="1">
        <v>1.6706099999999999</v>
      </c>
      <c r="G193" s="1">
        <v>0.79169999999999996</v>
      </c>
      <c r="H193" s="1" t="s">
        <v>3</v>
      </c>
      <c r="I193" s="1">
        <v>-0.11942</v>
      </c>
      <c r="J193" s="1">
        <v>140029555.40454999</v>
      </c>
      <c r="K193" s="1">
        <v>-152009914.75485</v>
      </c>
      <c r="L193">
        <v>1272940820.5978701</v>
      </c>
      <c r="M193">
        <v>34275431.53576</v>
      </c>
      <c r="N193">
        <v>1537208655.3141699</v>
      </c>
      <c r="O193" s="1">
        <v>17966656.723560002</v>
      </c>
      <c r="P193">
        <v>738335218.22757995</v>
      </c>
      <c r="Q193">
        <v>577762814.05548</v>
      </c>
      <c r="R193">
        <v>729772728.81033003</v>
      </c>
      <c r="S193">
        <v>80150011.798270002</v>
      </c>
      <c r="T193">
        <v>-0.78944000000000003</v>
      </c>
      <c r="U193">
        <f t="shared" si="14"/>
        <v>0.58434209910436052</v>
      </c>
      <c r="V193">
        <f t="shared" si="15"/>
        <v>-1.0542152133481761</v>
      </c>
      <c r="W193">
        <f t="shared" si="16"/>
        <v>7.4519861852580818E-2</v>
      </c>
      <c r="X193">
        <f t="shared" si="17"/>
        <v>1</v>
      </c>
      <c r="Y193">
        <f t="shared" si="18"/>
        <v>0</v>
      </c>
      <c r="Z193">
        <f t="shared" si="19"/>
        <v>0</v>
      </c>
      <c r="AA193">
        <f t="shared" si="20"/>
        <v>0</v>
      </c>
    </row>
    <row r="194" spans="1:27" x14ac:dyDescent="0.35">
      <c r="A194" s="1">
        <v>7.6101695220842904</v>
      </c>
      <c r="B194" s="1" t="s">
        <v>3</v>
      </c>
      <c r="C194" s="1">
        <v>0.104635356565302</v>
      </c>
      <c r="D194" s="1">
        <v>496.79696000000001</v>
      </c>
      <c r="E194" s="1">
        <v>45.965940000000003</v>
      </c>
      <c r="F194" s="1">
        <v>3.5802100000000001</v>
      </c>
      <c r="G194" s="1">
        <v>0.65298</v>
      </c>
      <c r="H194" s="1">
        <v>1.4961937153890701</v>
      </c>
      <c r="I194" s="1">
        <v>-0.16066</v>
      </c>
      <c r="J194" s="1">
        <v>194589173.31053001</v>
      </c>
      <c r="K194" s="1">
        <v>-226609178.01464999</v>
      </c>
      <c r="L194">
        <v>1410491373.5936401</v>
      </c>
      <c r="M194">
        <v>106722131.38499001</v>
      </c>
      <c r="N194">
        <v>2007467192.3110199</v>
      </c>
      <c r="O194">
        <v>102106869.49408001</v>
      </c>
      <c r="P194">
        <v>648345591.62986004</v>
      </c>
      <c r="Q194">
        <v>426400433.07916999</v>
      </c>
      <c r="R194">
        <v>653009611.09381998</v>
      </c>
      <c r="S194">
        <v>140390942.22902</v>
      </c>
      <c r="T194">
        <v>-0.55286999999999997</v>
      </c>
      <c r="U194">
        <f t="shared" ref="U194:U257" si="21">1.03*(K194/L194) + 3.07*(S194/L194) + 0.66*(M194/R194) +0.4*(N194/L194)</f>
        <v>0.81724829789012787</v>
      </c>
      <c r="V194">
        <f t="shared" ref="V194:V257" si="22">-4.3-4.5*(O194/L194)+5.7*(P194/L194)+0.004*(Q194/R194)</f>
        <v>-2.0030890826804328</v>
      </c>
      <c r="W194">
        <f t="shared" ref="W194:W257" si="23">0.057+1.65*(K194/L194)+3.404*(S194/L194)+0.016*(O194/L194)</f>
        <v>0.13188123324442652</v>
      </c>
      <c r="X194">
        <f t="shared" si="17"/>
        <v>1</v>
      </c>
      <c r="Y194">
        <f t="shared" si="18"/>
        <v>0</v>
      </c>
      <c r="Z194">
        <f t="shared" si="19"/>
        <v>0</v>
      </c>
      <c r="AA194">
        <f t="shared" si="20"/>
        <v>0</v>
      </c>
    </row>
    <row r="195" spans="1:27" x14ac:dyDescent="0.35">
      <c r="A195" s="1">
        <v>5.8199865313936803</v>
      </c>
      <c r="B195" s="1">
        <v>42.071847827142498</v>
      </c>
      <c r="C195" s="1">
        <v>3.6125680585979002E-2</v>
      </c>
      <c r="D195" s="1">
        <v>178.12768</v>
      </c>
      <c r="E195" s="1">
        <v>38.760779999999997</v>
      </c>
      <c r="F195" s="1">
        <v>2.1263299999999998</v>
      </c>
      <c r="G195" s="1">
        <v>0.66363000000000005</v>
      </c>
      <c r="H195" s="1">
        <v>1.1556691767753799</v>
      </c>
      <c r="I195" s="1">
        <v>-0.14424000000000001</v>
      </c>
      <c r="J195" s="1">
        <v>143352565.30131999</v>
      </c>
      <c r="K195" s="1">
        <v>-226661210.50902</v>
      </c>
      <c r="L195">
        <v>1571382509.2598701</v>
      </c>
      <c r="M195">
        <v>84519231.981370002</v>
      </c>
      <c r="N195">
        <v>1723029867.7226601</v>
      </c>
      <c r="O195">
        <v>86772329.18260999</v>
      </c>
      <c r="P195" s="1">
        <v>609080107.10446</v>
      </c>
      <c r="Q195">
        <v>447189909.10966003</v>
      </c>
      <c r="R195">
        <v>673851119.61868</v>
      </c>
      <c r="S195">
        <v>53861111.71982</v>
      </c>
      <c r="T195">
        <v>-0.50256999999999996</v>
      </c>
      <c r="U195">
        <f t="shared" si="21"/>
        <v>0.47804183797227229</v>
      </c>
      <c r="V195">
        <f t="shared" si="22"/>
        <v>-2.3364727259017046</v>
      </c>
      <c r="W195">
        <f t="shared" si="23"/>
        <v>-6.3441340452386835E-2</v>
      </c>
      <c r="X195">
        <f t="shared" ref="X195:X258" si="24">IF(U195&gt;=0.862,0,1)</f>
        <v>1</v>
      </c>
      <c r="Y195">
        <f t="shared" ref="Y195:Y258" si="25">IF(V195&lt;=0,0,1)</f>
        <v>0</v>
      </c>
      <c r="Z195">
        <f t="shared" ref="Z195:Z258" si="26">IF(W195&gt;=0.01,0,1)</f>
        <v>1</v>
      </c>
      <c r="AA195">
        <f t="shared" ref="AA195:AA258" si="27">IF(SUM(X195:Z195)&gt;=2,1,0)</f>
        <v>1</v>
      </c>
    </row>
    <row r="196" spans="1:27" x14ac:dyDescent="0.35">
      <c r="A196" s="1">
        <v>3.6947859372627101</v>
      </c>
      <c r="B196" s="1">
        <v>15.659716644494299</v>
      </c>
      <c r="C196" s="1">
        <v>-4.7889388043370002E-3</v>
      </c>
      <c r="D196" s="1">
        <v>129.79515000000001</v>
      </c>
      <c r="E196" s="1">
        <v>32.951700000000002</v>
      </c>
      <c r="F196" s="1">
        <v>-0.40642</v>
      </c>
      <c r="G196" s="1">
        <v>0.72528000000000004</v>
      </c>
      <c r="H196" s="1">
        <v>1.3929365854528999</v>
      </c>
      <c r="I196" s="1">
        <v>-0.10536</v>
      </c>
      <c r="J196" s="1">
        <v>182218744.47185001</v>
      </c>
      <c r="K196" s="1">
        <v>-159899996.04897001</v>
      </c>
      <c r="L196">
        <v>1517603322.72948</v>
      </c>
      <c r="M196">
        <v>45313808.443429999</v>
      </c>
      <c r="N196">
        <v>2151380688.6618099</v>
      </c>
      <c r="O196">
        <v>57065707.062190004</v>
      </c>
      <c r="P196" s="1">
        <v>500076149.97656995</v>
      </c>
      <c r="Q196">
        <v>422140589.50783002</v>
      </c>
      <c r="R196">
        <v>582040585.55680001</v>
      </c>
      <c r="S196">
        <v>-7396482.0584300002</v>
      </c>
      <c r="T196">
        <v>-0.49984000000000001</v>
      </c>
      <c r="U196">
        <f t="shared" si="21"/>
        <v>0.49494317680251376</v>
      </c>
      <c r="V196">
        <f t="shared" si="22"/>
        <v>-2.588063115909776</v>
      </c>
      <c r="W196">
        <f t="shared" si="23"/>
        <v>-0.13283851891977988</v>
      </c>
      <c r="X196">
        <f t="shared" si="24"/>
        <v>1</v>
      </c>
      <c r="Y196">
        <f t="shared" si="25"/>
        <v>0</v>
      </c>
      <c r="Z196">
        <f t="shared" si="26"/>
        <v>1</v>
      </c>
      <c r="AA196">
        <f t="shared" si="27"/>
        <v>1</v>
      </c>
    </row>
    <row r="197" spans="1:27" x14ac:dyDescent="0.35">
      <c r="A197" s="1">
        <v>3.52348050068227</v>
      </c>
      <c r="B197" s="1">
        <v>9.4569648736854504</v>
      </c>
      <c r="C197" s="1">
        <v>5.0662858711375998E-2</v>
      </c>
      <c r="D197" s="1">
        <v>47.647320000000001</v>
      </c>
      <c r="E197" s="1">
        <v>21.66911</v>
      </c>
      <c r="F197" s="1">
        <v>4.6637000000000004</v>
      </c>
      <c r="G197" s="1">
        <v>1.1725399999999999</v>
      </c>
      <c r="H197" s="1">
        <v>1.6986783510418899</v>
      </c>
      <c r="I197" s="1">
        <v>5.237E-2</v>
      </c>
      <c r="J197" s="1">
        <v>265209119</v>
      </c>
      <c r="K197" s="1">
        <v>111432166</v>
      </c>
      <c r="L197">
        <v>2127970194</v>
      </c>
      <c r="M197">
        <v>96933268</v>
      </c>
      <c r="N197">
        <v>3096328405</v>
      </c>
      <c r="O197">
        <v>64225536.000000007</v>
      </c>
      <c r="P197" s="1">
        <v>461112269</v>
      </c>
      <c r="Q197">
        <v>757266770</v>
      </c>
      <c r="R197">
        <v>645834604</v>
      </c>
      <c r="S197">
        <v>92347588</v>
      </c>
      <c r="T197" s="1" t="s">
        <v>3</v>
      </c>
      <c r="U197">
        <f t="shared" si="21"/>
        <v>0.86824944269580229</v>
      </c>
      <c r="V197">
        <f t="shared" si="22"/>
        <v>-3.1959875721900781</v>
      </c>
      <c r="W197">
        <f t="shared" si="23"/>
        <v>0.29160942894578906</v>
      </c>
      <c r="X197">
        <f t="shared" si="24"/>
        <v>0</v>
      </c>
      <c r="Y197">
        <f t="shared" si="25"/>
        <v>0</v>
      </c>
      <c r="Z197">
        <f t="shared" si="26"/>
        <v>0</v>
      </c>
      <c r="AA197">
        <f t="shared" si="27"/>
        <v>0</v>
      </c>
    </row>
    <row r="198" spans="1:27" x14ac:dyDescent="0.35">
      <c r="A198" s="1">
        <v>4.7715599399010902</v>
      </c>
      <c r="B198" s="1">
        <v>10.6351502249417</v>
      </c>
      <c r="C198" s="1">
        <v>7.2351813635838993E-2</v>
      </c>
      <c r="D198" s="1">
        <v>54.975180000000002</v>
      </c>
      <c r="E198" s="1">
        <v>24.34281</v>
      </c>
      <c r="F198" s="1">
        <v>6.6629399999999999</v>
      </c>
      <c r="G198" s="1">
        <v>0.84401999999999999</v>
      </c>
      <c r="H198" s="1">
        <v>1.4948312136013999</v>
      </c>
      <c r="I198" s="1">
        <v>-4.6719999999999998E-2</v>
      </c>
      <c r="J198" s="1">
        <v>373586752</v>
      </c>
      <c r="K198" s="1">
        <v>-117640834</v>
      </c>
      <c r="L198">
        <v>2517997766</v>
      </c>
      <c r="M198">
        <v>151530554</v>
      </c>
      <c r="N198">
        <v>3472468962</v>
      </c>
      <c r="O198">
        <v>110842573</v>
      </c>
      <c r="P198" s="1">
        <v>612951339</v>
      </c>
      <c r="Q198">
        <v>636566218</v>
      </c>
      <c r="R198">
        <v>754207052</v>
      </c>
      <c r="S198">
        <v>168072104</v>
      </c>
      <c r="T198">
        <v>4.3920000000000001E-2</v>
      </c>
      <c r="U198">
        <f t="shared" si="21"/>
        <v>0.84102262973290876</v>
      </c>
      <c r="V198">
        <f t="shared" si="22"/>
        <v>-3.1071744695905199</v>
      </c>
      <c r="W198">
        <f t="shared" si="23"/>
        <v>0.20782759492964539</v>
      </c>
      <c r="X198">
        <f t="shared" si="24"/>
        <v>1</v>
      </c>
      <c r="Y198">
        <f t="shared" si="25"/>
        <v>0</v>
      </c>
      <c r="Z198">
        <f t="shared" si="26"/>
        <v>0</v>
      </c>
      <c r="AA198">
        <f t="shared" si="27"/>
        <v>0</v>
      </c>
    </row>
    <row r="199" spans="1:27" x14ac:dyDescent="0.35">
      <c r="A199" s="1">
        <v>0.49296746169470501</v>
      </c>
      <c r="B199" s="1">
        <v>0.97098277540162303</v>
      </c>
      <c r="C199" s="1">
        <v>5.3216904586370004E-3</v>
      </c>
      <c r="D199" s="1">
        <v>89.443730000000002</v>
      </c>
      <c r="E199" s="1">
        <v>33.646380000000001</v>
      </c>
      <c r="F199" s="1">
        <v>0.32967999999999997</v>
      </c>
      <c r="G199" s="1">
        <v>0.83728000000000002</v>
      </c>
      <c r="H199" s="1">
        <v>1.3644156828771501</v>
      </c>
      <c r="I199" s="1">
        <v>-5.432E-2</v>
      </c>
      <c r="J199" s="1">
        <v>161906600</v>
      </c>
      <c r="K199" s="1">
        <v>-162577135</v>
      </c>
      <c r="L199">
        <v>2992713206</v>
      </c>
      <c r="M199">
        <v>13653713</v>
      </c>
      <c r="N199">
        <v>3759450237</v>
      </c>
      <c r="O199">
        <v>13583006</v>
      </c>
      <c r="P199" s="1">
        <v>1006939701</v>
      </c>
      <c r="Q199">
        <v>836522314</v>
      </c>
      <c r="R199">
        <v>999099449</v>
      </c>
      <c r="S199">
        <v>14663149</v>
      </c>
      <c r="T199">
        <v>3.9829999999999997E-2</v>
      </c>
      <c r="U199">
        <f t="shared" si="21"/>
        <v>0.47058786190462504</v>
      </c>
      <c r="V199">
        <f t="shared" si="22"/>
        <v>-2.3992312698245253</v>
      </c>
      <c r="W199">
        <f t="shared" si="23"/>
        <v>-1.5884225932740432E-2</v>
      </c>
      <c r="X199">
        <f t="shared" si="24"/>
        <v>1</v>
      </c>
      <c r="Y199">
        <f t="shared" si="25"/>
        <v>0</v>
      </c>
      <c r="Z199">
        <f t="shared" si="26"/>
        <v>1</v>
      </c>
      <c r="AA199">
        <f t="shared" si="27"/>
        <v>1</v>
      </c>
    </row>
    <row r="200" spans="1:27" x14ac:dyDescent="0.35">
      <c r="A200" s="1">
        <v>-12.0839769032827</v>
      </c>
      <c r="B200" s="1">
        <v>-37.527945494279798</v>
      </c>
      <c r="C200" s="1">
        <v>-0.132374074818321</v>
      </c>
      <c r="D200" s="1">
        <v>132.99102999999999</v>
      </c>
      <c r="E200" s="1">
        <v>37.570929999999997</v>
      </c>
      <c r="F200" s="1">
        <v>-5.9067100000000003</v>
      </c>
      <c r="G200" s="1">
        <v>0.66469999999999996</v>
      </c>
      <c r="H200" s="1">
        <v>1.28845854439737</v>
      </c>
      <c r="I200" s="1">
        <v>-0.13133</v>
      </c>
      <c r="J200" s="1">
        <v>-41234051</v>
      </c>
      <c r="K200" s="1">
        <v>-408850413</v>
      </c>
      <c r="L200">
        <v>3113079315</v>
      </c>
      <c r="M200">
        <v>-456453104</v>
      </c>
      <c r="N200">
        <v>3933530272</v>
      </c>
      <c r="O200">
        <v>-368911279</v>
      </c>
      <c r="P200" s="1">
        <v>1169613000</v>
      </c>
      <c r="Q200">
        <v>810514943</v>
      </c>
      <c r="R200">
        <v>1219365356</v>
      </c>
      <c r="S200">
        <v>-404124318</v>
      </c>
      <c r="T200">
        <v>-9.2469999999999997E-2</v>
      </c>
      <c r="U200">
        <f t="shared" si="21"/>
        <v>-0.27544739832205867</v>
      </c>
      <c r="V200">
        <f t="shared" si="22"/>
        <v>-1.6225314565159361</v>
      </c>
      <c r="W200">
        <f t="shared" si="23"/>
        <v>-0.60348588305434803</v>
      </c>
      <c r="X200">
        <f t="shared" si="24"/>
        <v>1</v>
      </c>
      <c r="Y200">
        <f t="shared" si="25"/>
        <v>0</v>
      </c>
      <c r="Z200">
        <f t="shared" si="26"/>
        <v>1</v>
      </c>
      <c r="AA200">
        <f t="shared" si="27"/>
        <v>1</v>
      </c>
    </row>
    <row r="201" spans="1:27" x14ac:dyDescent="0.35">
      <c r="A201" s="1">
        <v>2.4279328904300299</v>
      </c>
      <c r="B201" s="1">
        <v>8.5119019605718904</v>
      </c>
      <c r="C201" s="1">
        <v>4.7806239926627997E-2</v>
      </c>
      <c r="D201" s="1">
        <v>142.559</v>
      </c>
      <c r="E201" s="1">
        <v>40.946739999999998</v>
      </c>
      <c r="F201" s="1">
        <v>2.38449</v>
      </c>
      <c r="G201" s="1">
        <v>0.84279000000000004</v>
      </c>
      <c r="H201" s="1">
        <v>1.18789852429945</v>
      </c>
      <c r="I201" s="1">
        <v>-5.6800000000000003E-2</v>
      </c>
      <c r="J201" s="1">
        <v>196683527</v>
      </c>
      <c r="K201" s="1">
        <v>-188001116</v>
      </c>
      <c r="L201">
        <v>3310010986</v>
      </c>
      <c r="M201">
        <v>106660147</v>
      </c>
      <c r="N201">
        <v>3814989745</v>
      </c>
      <c r="O201">
        <v>77974161</v>
      </c>
      <c r="P201" s="1">
        <v>1355341444</v>
      </c>
      <c r="Q201">
        <v>1007848005</v>
      </c>
      <c r="R201">
        <v>1195849121</v>
      </c>
      <c r="S201">
        <v>153531898</v>
      </c>
      <c r="T201">
        <v>-6.4640000000000003E-2</v>
      </c>
      <c r="U201">
        <f t="shared" si="21"/>
        <v>0.60378866503968243</v>
      </c>
      <c r="V201">
        <f t="shared" si="22"/>
        <v>-2.0686717368548004</v>
      </c>
      <c r="W201">
        <f t="shared" si="23"/>
        <v>0.12155215009005413</v>
      </c>
      <c r="X201">
        <f t="shared" si="24"/>
        <v>1</v>
      </c>
      <c r="Y201">
        <f t="shared" si="25"/>
        <v>0</v>
      </c>
      <c r="Z201">
        <f t="shared" si="26"/>
        <v>0</v>
      </c>
      <c r="AA201">
        <f t="shared" si="27"/>
        <v>0</v>
      </c>
    </row>
    <row r="202" spans="1:27" x14ac:dyDescent="0.35">
      <c r="A202" s="1">
        <v>0.26576094206435202</v>
      </c>
      <c r="B202" s="1">
        <v>0.83779817652364297</v>
      </c>
      <c r="C202" s="1">
        <v>3.3564612161864002E-2</v>
      </c>
      <c r="D202" s="1">
        <v>167.74646999999999</v>
      </c>
      <c r="E202" s="1">
        <v>45.325360000000003</v>
      </c>
      <c r="F202" s="1">
        <v>1.33226</v>
      </c>
      <c r="G202" s="1">
        <v>0.74517</v>
      </c>
      <c r="H202" s="1">
        <v>1.09652429879574</v>
      </c>
      <c r="I202" s="1">
        <v>-0.1066</v>
      </c>
      <c r="J202" s="1">
        <v>115146362</v>
      </c>
      <c r="K202" s="1">
        <v>-398442819</v>
      </c>
      <c r="L202">
        <v>3737569390</v>
      </c>
      <c r="M202">
        <v>17790700</v>
      </c>
      <c r="N202">
        <v>3863921565</v>
      </c>
      <c r="O202" s="1">
        <v>9364858</v>
      </c>
      <c r="P202" s="1">
        <v>1694066936</v>
      </c>
      <c r="Q202">
        <v>1165133302</v>
      </c>
      <c r="R202">
        <v>1563576121</v>
      </c>
      <c r="S202">
        <v>118274651</v>
      </c>
      <c r="T202">
        <v>-5.7520000000000002E-2</v>
      </c>
      <c r="U202">
        <f t="shared" si="21"/>
        <v>0.40837861892483696</v>
      </c>
      <c r="V202">
        <f t="shared" si="22"/>
        <v>-1.7247487606032543</v>
      </c>
      <c r="W202">
        <f t="shared" si="23"/>
        <v>-1.1138909286711587E-2</v>
      </c>
      <c r="X202">
        <f t="shared" si="24"/>
        <v>1</v>
      </c>
      <c r="Y202">
        <f t="shared" si="25"/>
        <v>0</v>
      </c>
      <c r="Z202">
        <f t="shared" si="26"/>
        <v>1</v>
      </c>
      <c r="AA202">
        <f t="shared" si="27"/>
        <v>1</v>
      </c>
    </row>
    <row r="203" spans="1:27" x14ac:dyDescent="0.35">
      <c r="A203" s="1">
        <v>-5.6897378650073103</v>
      </c>
      <c r="B203" s="1">
        <v>-22.9480644944651</v>
      </c>
      <c r="C203" s="1">
        <v>-2.4252746756128998E-2</v>
      </c>
      <c r="D203" s="1">
        <v>182.98831000000001</v>
      </c>
      <c r="E203" s="1">
        <v>45.584000000000003</v>
      </c>
      <c r="F203" s="1">
        <v>-0.91627000000000003</v>
      </c>
      <c r="G203" s="1">
        <v>0.51343000000000005</v>
      </c>
      <c r="H203" s="1">
        <v>1.1138256026904401</v>
      </c>
      <c r="I203" s="1">
        <v>-0.24848000000000001</v>
      </c>
      <c r="J203" s="1">
        <v>-55011892</v>
      </c>
      <c r="K203" s="1">
        <v>-935104520</v>
      </c>
      <c r="L203" s="1">
        <v>3763292093</v>
      </c>
      <c r="M203" s="1">
        <v>-158180637</v>
      </c>
      <c r="N203" s="1">
        <v>4177325781</v>
      </c>
      <c r="O203" s="1">
        <v>-213389678</v>
      </c>
      <c r="P203" s="1">
        <v>1715459053</v>
      </c>
      <c r="Q203" s="1">
        <v>986741627</v>
      </c>
      <c r="R203" s="1">
        <v>1921846147</v>
      </c>
      <c r="S203" s="1">
        <v>-90958247</v>
      </c>
      <c r="T203" s="1">
        <v>-0.11781999999999999</v>
      </c>
      <c r="U203">
        <f t="shared" si="21"/>
        <v>5.9548905821028009E-2</v>
      </c>
      <c r="V203">
        <f t="shared" si="22"/>
        <v>-1.4444951123410565</v>
      </c>
      <c r="W203">
        <f t="shared" si="23"/>
        <v>-0.43617419954943687</v>
      </c>
      <c r="X203">
        <f t="shared" si="24"/>
        <v>1</v>
      </c>
      <c r="Y203">
        <f t="shared" si="25"/>
        <v>0</v>
      </c>
      <c r="Z203">
        <f t="shared" si="26"/>
        <v>1</v>
      </c>
      <c r="AA203">
        <f t="shared" si="27"/>
        <v>1</v>
      </c>
    </row>
    <row r="204" spans="1:27" x14ac:dyDescent="0.35">
      <c r="A204" s="1">
        <v>-5.7809385477837196</v>
      </c>
      <c r="B204" s="1">
        <v>-30.9570501566503</v>
      </c>
      <c r="C204" s="1">
        <v>-6.2544530796855999E-2</v>
      </c>
      <c r="D204" s="1">
        <v>287.31821000000002</v>
      </c>
      <c r="E204" s="1">
        <v>44.237560000000002</v>
      </c>
      <c r="F204" s="1">
        <v>-2.3975599999999999</v>
      </c>
      <c r="G204" s="1">
        <v>0.35276000000000002</v>
      </c>
      <c r="H204" s="1">
        <v>1.0937160085334601</v>
      </c>
      <c r="I204" s="1">
        <v>-0.47682999999999998</v>
      </c>
      <c r="J204" s="1">
        <v>28976602</v>
      </c>
      <c r="K204" s="1">
        <v>-1981450875</v>
      </c>
      <c r="L204" s="1">
        <v>4155474803</v>
      </c>
      <c r="M204" s="1">
        <v>-286393449</v>
      </c>
      <c r="N204" s="1">
        <v>4330441061</v>
      </c>
      <c r="O204" s="1">
        <v>-228889524</v>
      </c>
      <c r="P204" s="1">
        <v>1838280730</v>
      </c>
      <c r="Q204" s="1">
        <v>1079945126</v>
      </c>
      <c r="R204" s="1">
        <v>3061396001</v>
      </c>
      <c r="S204" s="1">
        <v>-247637780</v>
      </c>
      <c r="T204" s="1">
        <v>-0.16238</v>
      </c>
      <c r="U204">
        <f t="shared" si="21"/>
        <v>-0.31898576539487655</v>
      </c>
      <c r="V204">
        <f t="shared" si="22"/>
        <v>-1.5291814667592643</v>
      </c>
      <c r="W204">
        <f t="shared" si="23"/>
        <v>-0.93350418409046465</v>
      </c>
      <c r="X204">
        <f t="shared" si="24"/>
        <v>1</v>
      </c>
      <c r="Y204">
        <f t="shared" si="25"/>
        <v>0</v>
      </c>
      <c r="Z204">
        <f t="shared" si="26"/>
        <v>1</v>
      </c>
      <c r="AA204">
        <f t="shared" si="27"/>
        <v>1</v>
      </c>
    </row>
    <row r="205" spans="1:27" x14ac:dyDescent="0.35">
      <c r="A205" s="1">
        <v>-1.0351117333620401</v>
      </c>
      <c r="B205" s="1">
        <v>-6.6593964324334101</v>
      </c>
      <c r="C205" s="1">
        <v>1.2618757160075E-2</v>
      </c>
      <c r="D205" s="1">
        <v>306.11932999999999</v>
      </c>
      <c r="E205" s="1">
        <v>40.025010000000002</v>
      </c>
      <c r="F205" s="1">
        <v>0.48058000000000001</v>
      </c>
      <c r="G205" s="1">
        <v>0.33389999999999997</v>
      </c>
      <c r="H205" s="1">
        <v>1.0620272034757601</v>
      </c>
      <c r="I205" s="1">
        <v>-0.50766</v>
      </c>
      <c r="J205" s="1">
        <v>513416743</v>
      </c>
      <c r="K205" s="1">
        <v>-2261988356</v>
      </c>
      <c r="L205">
        <v>4455675774</v>
      </c>
      <c r="M205">
        <v>1235153</v>
      </c>
      <c r="N205">
        <v>4572638083</v>
      </c>
      <c r="O205" s="1">
        <v>-44567515</v>
      </c>
      <c r="P205" s="1">
        <v>1783384683</v>
      </c>
      <c r="Q205">
        <v>1133892533</v>
      </c>
      <c r="R205">
        <v>3395880889</v>
      </c>
      <c r="S205">
        <v>54331009</v>
      </c>
      <c r="T205">
        <v>-0.17810999999999999</v>
      </c>
      <c r="U205">
        <f t="shared" si="21"/>
        <v>-7.4719746638633067E-2</v>
      </c>
      <c r="V205">
        <f t="shared" si="22"/>
        <v>-1.9722279450471956</v>
      </c>
      <c r="W205">
        <f t="shared" si="23"/>
        <v>-0.7392992131760977</v>
      </c>
      <c r="X205">
        <f t="shared" si="24"/>
        <v>1</v>
      </c>
      <c r="Y205">
        <f t="shared" si="25"/>
        <v>0</v>
      </c>
      <c r="Z205">
        <f t="shared" si="26"/>
        <v>1</v>
      </c>
      <c r="AA205">
        <f t="shared" si="27"/>
        <v>1</v>
      </c>
    </row>
    <row r="206" spans="1:27" x14ac:dyDescent="0.35">
      <c r="A206">
        <v>-32.489691746905898</v>
      </c>
      <c r="B206" s="1" t="s">
        <v>3</v>
      </c>
      <c r="C206">
        <v>-0.28440128509546397</v>
      </c>
      <c r="D206" s="1" t="s">
        <v>3</v>
      </c>
      <c r="E206" s="1">
        <v>71.102699999999999</v>
      </c>
      <c r="F206" s="1">
        <v>-4.01539</v>
      </c>
      <c r="G206" s="1">
        <v>0.12493</v>
      </c>
      <c r="H206" s="1">
        <v>0.195771317584851</v>
      </c>
      <c r="I206" s="1">
        <v>-0.34831000000000001</v>
      </c>
      <c r="J206" s="1">
        <v>110387602</v>
      </c>
      <c r="K206" s="1">
        <v>-3758250579</v>
      </c>
      <c r="L206">
        <v>10789980407</v>
      </c>
      <c r="M206">
        <v>-2592583535</v>
      </c>
      <c r="N206">
        <v>1492331099</v>
      </c>
      <c r="O206" s="1">
        <v>-2476633349</v>
      </c>
      <c r="P206" s="1">
        <v>7671967678</v>
      </c>
      <c r="Q206">
        <v>536547176</v>
      </c>
      <c r="R206">
        <v>4294797755</v>
      </c>
      <c r="S206">
        <v>-2167942105</v>
      </c>
      <c r="T206">
        <v>-0.30193999999999999</v>
      </c>
      <c r="U206">
        <f t="shared" si="21"/>
        <v>-1.318679048273373</v>
      </c>
      <c r="V206">
        <f t="shared" si="22"/>
        <v>0.78624258013812831</v>
      </c>
      <c r="W206">
        <f t="shared" si="23"/>
        <v>-1.2053205974978187</v>
      </c>
      <c r="X206">
        <f t="shared" si="24"/>
        <v>1</v>
      </c>
      <c r="Y206">
        <f t="shared" si="25"/>
        <v>1</v>
      </c>
      <c r="Z206">
        <f t="shared" si="26"/>
        <v>1</v>
      </c>
      <c r="AA206">
        <f t="shared" si="27"/>
        <v>1</v>
      </c>
    </row>
    <row r="207" spans="1:27" x14ac:dyDescent="0.35">
      <c r="A207">
        <v>-46.422381368454097</v>
      </c>
      <c r="B207" s="1" t="s">
        <v>3</v>
      </c>
      <c r="C207">
        <v>-0.182420625354799</v>
      </c>
      <c r="D207" s="1" t="s">
        <v>3</v>
      </c>
      <c r="E207" s="1">
        <v>107.27759</v>
      </c>
      <c r="F207" s="1">
        <v>-2.9061400000000002</v>
      </c>
      <c r="G207" s="1">
        <v>5.2970000000000003E-2</v>
      </c>
      <c r="H207" s="1">
        <v>0.148662498368621</v>
      </c>
      <c r="I207" s="1">
        <v>-0.75988</v>
      </c>
      <c r="J207" s="1">
        <v>82498335</v>
      </c>
      <c r="K207" s="1">
        <v>-5465588156</v>
      </c>
      <c r="L207">
        <v>7192745360</v>
      </c>
      <c r="M207">
        <v>-4532553816</v>
      </c>
      <c r="N207">
        <v>1336678470</v>
      </c>
      <c r="O207" s="1">
        <v>-4174004768</v>
      </c>
      <c r="P207" s="1">
        <v>7716203834</v>
      </c>
      <c r="Q207">
        <v>305725029</v>
      </c>
      <c r="R207">
        <v>5771313185</v>
      </c>
      <c r="S207">
        <v>-1640210040</v>
      </c>
      <c r="T207">
        <v>-1.0305899999999999</v>
      </c>
      <c r="U207">
        <f t="shared" si="21"/>
        <v>-1.9267463308417663</v>
      </c>
      <c r="V207">
        <f t="shared" si="22"/>
        <v>4.4264186704448356</v>
      </c>
      <c r="W207">
        <f t="shared" si="23"/>
        <v>-1.9823158350107362</v>
      </c>
      <c r="X207">
        <f t="shared" si="24"/>
        <v>1</v>
      </c>
      <c r="Y207">
        <f t="shared" si="25"/>
        <v>1</v>
      </c>
      <c r="Z207">
        <f t="shared" si="26"/>
        <v>1</v>
      </c>
      <c r="AA207">
        <f t="shared" si="27"/>
        <v>1</v>
      </c>
    </row>
    <row r="208" spans="1:27" x14ac:dyDescent="0.35">
      <c r="A208">
        <v>55.655914654142101</v>
      </c>
      <c r="B208" s="1" t="s">
        <v>3</v>
      </c>
      <c r="C208">
        <v>-6.2459850538401002E-2</v>
      </c>
      <c r="D208" s="1" t="s">
        <v>3</v>
      </c>
      <c r="E208" s="1">
        <v>64.202510000000004</v>
      </c>
      <c r="F208" s="1">
        <v>-1.0162199999999999</v>
      </c>
      <c r="G208" s="1">
        <v>0.47659000000000001</v>
      </c>
      <c r="H208" s="1">
        <v>0.31279679270027599</v>
      </c>
      <c r="I208" s="1">
        <v>-0.14112</v>
      </c>
      <c r="J208" s="1">
        <v>261400840</v>
      </c>
      <c r="K208" s="1">
        <v>-879875847</v>
      </c>
      <c r="L208">
        <v>6235010979</v>
      </c>
      <c r="M208">
        <v>3935160004</v>
      </c>
      <c r="N208">
        <v>2100079558</v>
      </c>
      <c r="O208" s="1">
        <v>3736670304</v>
      </c>
      <c r="P208" s="1">
        <v>4003033344</v>
      </c>
      <c r="Q208">
        <v>801153825</v>
      </c>
      <c r="R208">
        <v>1681029672</v>
      </c>
      <c r="S208">
        <v>-419347827</v>
      </c>
      <c r="T208">
        <v>-0.58903000000000005</v>
      </c>
      <c r="U208">
        <f t="shared" si="21"/>
        <v>1.3279060142134682</v>
      </c>
      <c r="V208">
        <f t="shared" si="22"/>
        <v>-3.3354211454769742</v>
      </c>
      <c r="W208">
        <f t="shared" si="23"/>
        <v>-0.3951994324132207</v>
      </c>
      <c r="X208">
        <f t="shared" si="24"/>
        <v>0</v>
      </c>
      <c r="Y208">
        <f t="shared" si="25"/>
        <v>0</v>
      </c>
      <c r="Z208">
        <f t="shared" si="26"/>
        <v>1</v>
      </c>
      <c r="AA208">
        <f t="shared" si="27"/>
        <v>0</v>
      </c>
    </row>
    <row r="209" spans="1:27" x14ac:dyDescent="0.35">
      <c r="A209">
        <v>3.8880392934582799</v>
      </c>
      <c r="B209" s="1" t="s">
        <v>3</v>
      </c>
      <c r="C209">
        <v>4.7808047399401997E-2</v>
      </c>
      <c r="D209" s="1" t="s">
        <v>3</v>
      </c>
      <c r="E209" s="1">
        <v>58.450969999999998</v>
      </c>
      <c r="F209" s="1">
        <v>0.67835000000000001</v>
      </c>
      <c r="G209" s="1">
        <v>0.56110000000000004</v>
      </c>
      <c r="H209" s="1">
        <v>0.45309095400673199</v>
      </c>
      <c r="I209" s="1">
        <v>-7.6009999999999994E-2</v>
      </c>
      <c r="J209" s="1">
        <v>218853422</v>
      </c>
      <c r="K209" s="1">
        <v>-511382651</v>
      </c>
      <c r="L209">
        <v>6727645053</v>
      </c>
      <c r="M209">
        <v>234589145</v>
      </c>
      <c r="N209">
        <v>2936631094</v>
      </c>
      <c r="O209" s="1">
        <v>251996580</v>
      </c>
      <c r="P209" s="1">
        <v>3932374095</v>
      </c>
      <c r="Q209">
        <v>653772901</v>
      </c>
      <c r="R209">
        <v>1165155552</v>
      </c>
      <c r="S209">
        <v>309859637</v>
      </c>
      <c r="T209">
        <v>-0.50929999999999997</v>
      </c>
      <c r="U209">
        <f t="shared" si="21"/>
        <v>0.37058792090725445</v>
      </c>
      <c r="V209">
        <f t="shared" si="22"/>
        <v>-1.1346059898426621</v>
      </c>
      <c r="W209">
        <f t="shared" si="23"/>
        <v>8.895958969061861E-2</v>
      </c>
      <c r="X209">
        <f t="shared" si="24"/>
        <v>1</v>
      </c>
      <c r="Y209">
        <f t="shared" si="25"/>
        <v>0</v>
      </c>
      <c r="Z209">
        <f t="shared" si="26"/>
        <v>0</v>
      </c>
      <c r="AA209">
        <f t="shared" si="27"/>
        <v>0</v>
      </c>
    </row>
    <row r="210" spans="1:27" x14ac:dyDescent="0.35">
      <c r="A210">
        <v>-1.0456311960259901</v>
      </c>
      <c r="B210" s="1" t="s">
        <v>3</v>
      </c>
      <c r="C210">
        <v>4.6247427539811002E-2</v>
      </c>
      <c r="D210" s="1" t="s">
        <v>3</v>
      </c>
      <c r="E210" s="1">
        <v>57.702069999999999</v>
      </c>
      <c r="F210" s="1">
        <v>0.64307999999999998</v>
      </c>
      <c r="G210" s="1">
        <v>0.47210999999999997</v>
      </c>
      <c r="H210" s="1">
        <v>0.51198259055884499</v>
      </c>
      <c r="I210" s="1">
        <v>-9.3579999999999997E-2</v>
      </c>
      <c r="J210" s="1">
        <v>585742098</v>
      </c>
      <c r="K210" s="1">
        <v>-619363911</v>
      </c>
      <c r="L210">
        <v>6618614941</v>
      </c>
      <c r="M210">
        <v>-81463755</v>
      </c>
      <c r="N210">
        <v>3416526383</v>
      </c>
      <c r="O210" s="1">
        <v>-69776329</v>
      </c>
      <c r="P210" s="1">
        <v>3819077692</v>
      </c>
      <c r="Q210">
        <v>553908871</v>
      </c>
      <c r="R210">
        <v>1173272782</v>
      </c>
      <c r="S210">
        <v>308615096</v>
      </c>
      <c r="T210">
        <v>-0.52880000000000005</v>
      </c>
      <c r="U210">
        <f t="shared" si="21"/>
        <v>0.20741669365633991</v>
      </c>
      <c r="V210">
        <f t="shared" si="22"/>
        <v>-0.96165273738617252</v>
      </c>
      <c r="W210">
        <f t="shared" si="23"/>
        <v>6.114873997275496E-2</v>
      </c>
      <c r="X210">
        <f t="shared" si="24"/>
        <v>1</v>
      </c>
      <c r="Y210">
        <f t="shared" si="25"/>
        <v>0</v>
      </c>
      <c r="Z210">
        <f t="shared" si="26"/>
        <v>0</v>
      </c>
      <c r="AA210">
        <f t="shared" si="27"/>
        <v>0</v>
      </c>
    </row>
    <row r="211" spans="1:27" x14ac:dyDescent="0.35">
      <c r="A211" s="1" t="s">
        <v>3</v>
      </c>
      <c r="B211" s="1" t="s">
        <v>3</v>
      </c>
      <c r="C211" s="1" t="s">
        <v>3</v>
      </c>
      <c r="D211" s="1" t="s">
        <v>3</v>
      </c>
      <c r="E211" s="1" t="s">
        <v>3</v>
      </c>
      <c r="F211" s="1" t="s">
        <v>3</v>
      </c>
      <c r="G211" s="1" t="s">
        <v>3</v>
      </c>
      <c r="H211" s="1" t="s">
        <v>3</v>
      </c>
      <c r="I211" s="1" t="s">
        <v>3</v>
      </c>
      <c r="J211" s="1" t="s">
        <v>3</v>
      </c>
      <c r="K211" s="1" t="s">
        <v>3</v>
      </c>
      <c r="L211" s="1" t="s">
        <v>3</v>
      </c>
      <c r="M211" s="1" t="s">
        <v>3</v>
      </c>
      <c r="N211" s="1" t="s">
        <v>3</v>
      </c>
      <c r="O211" s="1" t="s">
        <v>3</v>
      </c>
      <c r="P211" s="1" t="s">
        <v>3</v>
      </c>
      <c r="Q211" s="1" t="s">
        <v>3</v>
      </c>
      <c r="R211" s="1" t="s">
        <v>3</v>
      </c>
      <c r="S211" s="1" t="s">
        <v>3</v>
      </c>
      <c r="T211" s="1" t="s">
        <v>3</v>
      </c>
      <c r="U211" t="e">
        <f t="shared" si="21"/>
        <v>#VALUE!</v>
      </c>
      <c r="V211" t="e">
        <f t="shared" si="22"/>
        <v>#VALUE!</v>
      </c>
      <c r="W211" t="e">
        <f t="shared" si="23"/>
        <v>#VALUE!</v>
      </c>
      <c r="X211" t="e">
        <f t="shared" si="24"/>
        <v>#VALUE!</v>
      </c>
      <c r="Y211" t="e">
        <f t="shared" si="25"/>
        <v>#VALUE!</v>
      </c>
      <c r="Z211" t="e">
        <f t="shared" si="26"/>
        <v>#VALUE!</v>
      </c>
      <c r="AA211" t="e">
        <f t="shared" si="27"/>
        <v>#VALUE!</v>
      </c>
    </row>
    <row r="212" spans="1:27" x14ac:dyDescent="0.35">
      <c r="A212" s="1" t="s">
        <v>3</v>
      </c>
      <c r="B212" s="1" t="s">
        <v>3</v>
      </c>
      <c r="C212" s="1" t="s">
        <v>3</v>
      </c>
      <c r="D212" s="1" t="s">
        <v>3</v>
      </c>
      <c r="E212" s="1" t="s">
        <v>3</v>
      </c>
      <c r="F212" s="1" t="s">
        <v>3</v>
      </c>
      <c r="G212" s="1" t="s">
        <v>3</v>
      </c>
      <c r="H212" s="1" t="s">
        <v>3</v>
      </c>
      <c r="I212" s="1" t="s">
        <v>3</v>
      </c>
      <c r="J212" s="1" t="s">
        <v>3</v>
      </c>
      <c r="K212" s="1" t="s">
        <v>3</v>
      </c>
      <c r="L212" s="1" t="s">
        <v>3</v>
      </c>
      <c r="M212" s="1" t="s">
        <v>3</v>
      </c>
      <c r="N212" s="1" t="s">
        <v>3</v>
      </c>
      <c r="O212" s="1" t="s">
        <v>3</v>
      </c>
      <c r="P212" s="1" t="s">
        <v>3</v>
      </c>
      <c r="Q212" s="1" t="s">
        <v>3</v>
      </c>
      <c r="R212" s="1" t="s">
        <v>3</v>
      </c>
      <c r="S212" s="1" t="s">
        <v>3</v>
      </c>
      <c r="T212" s="1" t="s">
        <v>3</v>
      </c>
      <c r="U212" t="e">
        <f t="shared" si="21"/>
        <v>#VALUE!</v>
      </c>
      <c r="V212" t="e">
        <f t="shared" si="22"/>
        <v>#VALUE!</v>
      </c>
      <c r="W212" t="e">
        <f t="shared" si="23"/>
        <v>#VALUE!</v>
      </c>
      <c r="X212" t="e">
        <f t="shared" si="24"/>
        <v>#VALUE!</v>
      </c>
      <c r="Y212" t="e">
        <f t="shared" si="25"/>
        <v>#VALUE!</v>
      </c>
      <c r="Z212" t="e">
        <f t="shared" si="26"/>
        <v>#VALUE!</v>
      </c>
      <c r="AA212" t="e">
        <f t="shared" si="27"/>
        <v>#VALUE!</v>
      </c>
    </row>
    <row r="213" spans="1:27" x14ac:dyDescent="0.35">
      <c r="A213" s="1" t="s">
        <v>3</v>
      </c>
      <c r="B213" s="1" t="s">
        <v>3</v>
      </c>
      <c r="C213" s="1" t="s">
        <v>3</v>
      </c>
      <c r="D213" s="1" t="s">
        <v>3</v>
      </c>
      <c r="E213" s="1" t="s">
        <v>3</v>
      </c>
      <c r="F213" s="1" t="s">
        <v>3</v>
      </c>
      <c r="G213" s="1" t="s">
        <v>3</v>
      </c>
      <c r="H213" s="1" t="s">
        <v>3</v>
      </c>
      <c r="I213" s="1" t="s">
        <v>3</v>
      </c>
      <c r="J213" s="1" t="s">
        <v>3</v>
      </c>
      <c r="K213" s="1" t="s">
        <v>3</v>
      </c>
      <c r="L213" s="1" t="s">
        <v>3</v>
      </c>
      <c r="M213" s="1" t="s">
        <v>3</v>
      </c>
      <c r="N213" s="1" t="s">
        <v>3</v>
      </c>
      <c r="O213" s="1" t="s">
        <v>3</v>
      </c>
      <c r="P213" s="1" t="s">
        <v>3</v>
      </c>
      <c r="Q213" s="1" t="s">
        <v>3</v>
      </c>
      <c r="R213" s="1" t="s">
        <v>3</v>
      </c>
      <c r="S213" s="1" t="s">
        <v>3</v>
      </c>
      <c r="T213" s="1" t="s">
        <v>3</v>
      </c>
      <c r="U213" t="e">
        <f t="shared" si="21"/>
        <v>#VALUE!</v>
      </c>
      <c r="V213" t="e">
        <f t="shared" si="22"/>
        <v>#VALUE!</v>
      </c>
      <c r="W213" t="e">
        <f t="shared" si="23"/>
        <v>#VALUE!</v>
      </c>
      <c r="X213" t="e">
        <f t="shared" si="24"/>
        <v>#VALUE!</v>
      </c>
      <c r="Y213" t="e">
        <f t="shared" si="25"/>
        <v>#VALUE!</v>
      </c>
      <c r="Z213" t="e">
        <f t="shared" si="26"/>
        <v>#VALUE!</v>
      </c>
      <c r="AA213" t="e">
        <f t="shared" si="27"/>
        <v>#VALUE!</v>
      </c>
    </row>
    <row r="214" spans="1:27" x14ac:dyDescent="0.35">
      <c r="A214" s="1" t="s">
        <v>3</v>
      </c>
      <c r="B214" s="1" t="s">
        <v>3</v>
      </c>
      <c r="C214" s="1" t="s">
        <v>3</v>
      </c>
      <c r="D214" s="1" t="s">
        <v>3</v>
      </c>
      <c r="E214" s="1" t="s">
        <v>3</v>
      </c>
      <c r="F214" s="1" t="s">
        <v>3</v>
      </c>
      <c r="G214" s="1" t="s">
        <v>3</v>
      </c>
      <c r="H214" s="1" t="s">
        <v>3</v>
      </c>
      <c r="I214" s="1" t="s">
        <v>3</v>
      </c>
      <c r="J214" s="1" t="s">
        <v>3</v>
      </c>
      <c r="K214" s="1" t="s">
        <v>3</v>
      </c>
      <c r="L214" s="1" t="s">
        <v>3</v>
      </c>
      <c r="M214" s="1" t="s">
        <v>3</v>
      </c>
      <c r="N214" s="1" t="s">
        <v>3</v>
      </c>
      <c r="O214" s="1" t="s">
        <v>3</v>
      </c>
      <c r="P214" s="1" t="s">
        <v>3</v>
      </c>
      <c r="Q214" s="1" t="s">
        <v>3</v>
      </c>
      <c r="R214" s="1" t="s">
        <v>3</v>
      </c>
      <c r="S214" s="1" t="s">
        <v>3</v>
      </c>
      <c r="T214" s="1" t="s">
        <v>3</v>
      </c>
      <c r="U214" t="e">
        <f t="shared" si="21"/>
        <v>#VALUE!</v>
      </c>
      <c r="V214" t="e">
        <f t="shared" si="22"/>
        <v>#VALUE!</v>
      </c>
      <c r="W214" t="e">
        <f t="shared" si="23"/>
        <v>#VALUE!</v>
      </c>
      <c r="X214" t="e">
        <f t="shared" si="24"/>
        <v>#VALUE!</v>
      </c>
      <c r="Y214" t="e">
        <f t="shared" si="25"/>
        <v>#VALUE!</v>
      </c>
      <c r="Z214" t="e">
        <f t="shared" si="26"/>
        <v>#VALUE!</v>
      </c>
      <c r="AA214" t="e">
        <f t="shared" si="27"/>
        <v>#VALUE!</v>
      </c>
    </row>
    <row r="215" spans="1:27" x14ac:dyDescent="0.35">
      <c r="A215" s="1" t="s">
        <v>3</v>
      </c>
      <c r="B215" s="1" t="s">
        <v>3</v>
      </c>
      <c r="C215" s="1" t="s">
        <v>3</v>
      </c>
      <c r="D215" s="1" t="s">
        <v>3</v>
      </c>
      <c r="E215" s="1" t="s">
        <v>3</v>
      </c>
      <c r="F215" s="1" t="s">
        <v>3</v>
      </c>
      <c r="G215" s="1" t="s">
        <v>3</v>
      </c>
      <c r="H215" s="1" t="s">
        <v>3</v>
      </c>
      <c r="I215" s="1" t="s">
        <v>3</v>
      </c>
      <c r="J215" s="1" t="s">
        <v>3</v>
      </c>
      <c r="K215" s="1" t="s">
        <v>3</v>
      </c>
      <c r="L215" s="1" t="s">
        <v>3</v>
      </c>
      <c r="M215" s="1" t="s">
        <v>3</v>
      </c>
      <c r="N215" s="1" t="s">
        <v>3</v>
      </c>
      <c r="O215" s="1" t="s">
        <v>3</v>
      </c>
      <c r="P215" s="1" t="s">
        <v>3</v>
      </c>
      <c r="Q215" s="1" t="s">
        <v>3</v>
      </c>
      <c r="R215" s="1" t="s">
        <v>3</v>
      </c>
      <c r="S215" s="1" t="s">
        <v>3</v>
      </c>
      <c r="T215" s="1" t="s">
        <v>3</v>
      </c>
      <c r="U215" t="e">
        <f t="shared" si="21"/>
        <v>#VALUE!</v>
      </c>
      <c r="V215" t="e">
        <f t="shared" si="22"/>
        <v>#VALUE!</v>
      </c>
      <c r="W215" t="e">
        <f t="shared" si="23"/>
        <v>#VALUE!</v>
      </c>
      <c r="X215" t="e">
        <f t="shared" si="24"/>
        <v>#VALUE!</v>
      </c>
      <c r="Y215" t="e">
        <f t="shared" si="25"/>
        <v>#VALUE!</v>
      </c>
      <c r="Z215" t="e">
        <f t="shared" si="26"/>
        <v>#VALUE!</v>
      </c>
      <c r="AA215" t="e">
        <f t="shared" si="27"/>
        <v>#VALUE!</v>
      </c>
    </row>
    <row r="216" spans="1:27" x14ac:dyDescent="0.35">
      <c r="A216" s="1" t="s">
        <v>3</v>
      </c>
      <c r="B216" s="1" t="s">
        <v>3</v>
      </c>
      <c r="C216" s="1" t="s">
        <v>3</v>
      </c>
      <c r="D216" s="1" t="s">
        <v>3</v>
      </c>
      <c r="E216" s="1" t="s">
        <v>3</v>
      </c>
      <c r="F216" s="1" t="s">
        <v>3</v>
      </c>
      <c r="G216" s="1" t="s">
        <v>3</v>
      </c>
      <c r="H216" s="1" t="s">
        <v>3</v>
      </c>
      <c r="I216" s="1" t="s">
        <v>3</v>
      </c>
      <c r="J216" s="1" t="s">
        <v>3</v>
      </c>
      <c r="K216" s="1" t="s">
        <v>3</v>
      </c>
      <c r="L216" s="1" t="s">
        <v>3</v>
      </c>
      <c r="M216" s="1" t="s">
        <v>3</v>
      </c>
      <c r="N216" s="1" t="s">
        <v>3</v>
      </c>
      <c r="O216" s="1" t="s">
        <v>3</v>
      </c>
      <c r="P216" s="1" t="s">
        <v>3</v>
      </c>
      <c r="Q216" s="1" t="s">
        <v>3</v>
      </c>
      <c r="R216" s="1" t="s">
        <v>3</v>
      </c>
      <c r="S216" s="1" t="s">
        <v>3</v>
      </c>
      <c r="T216" s="1" t="s">
        <v>3</v>
      </c>
      <c r="U216" t="e">
        <f t="shared" si="21"/>
        <v>#VALUE!</v>
      </c>
      <c r="V216" t="e">
        <f t="shared" si="22"/>
        <v>#VALUE!</v>
      </c>
      <c r="W216" t="e">
        <f t="shared" si="23"/>
        <v>#VALUE!</v>
      </c>
      <c r="X216" t="e">
        <f t="shared" si="24"/>
        <v>#VALUE!</v>
      </c>
      <c r="Y216" t="e">
        <f t="shared" si="25"/>
        <v>#VALUE!</v>
      </c>
      <c r="Z216" t="e">
        <f t="shared" si="26"/>
        <v>#VALUE!</v>
      </c>
      <c r="AA216" t="e">
        <f t="shared" si="27"/>
        <v>#VALUE!</v>
      </c>
    </row>
    <row r="217" spans="1:27" x14ac:dyDescent="0.35">
      <c r="A217" s="1" t="s">
        <v>3</v>
      </c>
      <c r="B217" s="1" t="s">
        <v>3</v>
      </c>
      <c r="C217" s="1" t="s">
        <v>3</v>
      </c>
      <c r="D217" s="1" t="s">
        <v>3</v>
      </c>
      <c r="E217" s="1" t="s">
        <v>3</v>
      </c>
      <c r="F217" s="1" t="s">
        <v>3</v>
      </c>
      <c r="G217" s="1" t="s">
        <v>3</v>
      </c>
      <c r="H217" s="1" t="s">
        <v>3</v>
      </c>
      <c r="I217" s="1" t="s">
        <v>3</v>
      </c>
      <c r="J217" s="1" t="s">
        <v>3</v>
      </c>
      <c r="K217" s="1" t="s">
        <v>3</v>
      </c>
      <c r="L217" s="1" t="s">
        <v>3</v>
      </c>
      <c r="M217" s="1" t="s">
        <v>3</v>
      </c>
      <c r="N217" s="1" t="s">
        <v>3</v>
      </c>
      <c r="O217" s="1" t="s">
        <v>3</v>
      </c>
      <c r="P217" s="1" t="s">
        <v>3</v>
      </c>
      <c r="Q217" s="1" t="s">
        <v>3</v>
      </c>
      <c r="R217" s="1" t="s">
        <v>3</v>
      </c>
      <c r="S217" s="1" t="s">
        <v>3</v>
      </c>
      <c r="T217" s="1" t="s">
        <v>3</v>
      </c>
      <c r="U217" t="e">
        <f t="shared" si="21"/>
        <v>#VALUE!</v>
      </c>
      <c r="V217" t="e">
        <f t="shared" si="22"/>
        <v>#VALUE!</v>
      </c>
      <c r="W217" t="e">
        <f t="shared" si="23"/>
        <v>#VALUE!</v>
      </c>
      <c r="X217" t="e">
        <f t="shared" si="24"/>
        <v>#VALUE!</v>
      </c>
      <c r="Y217" t="e">
        <f t="shared" si="25"/>
        <v>#VALUE!</v>
      </c>
      <c r="Z217" t="e">
        <f t="shared" si="26"/>
        <v>#VALUE!</v>
      </c>
      <c r="AA217" t="e">
        <f t="shared" si="27"/>
        <v>#VALUE!</v>
      </c>
    </row>
    <row r="218" spans="1:27" x14ac:dyDescent="0.35">
      <c r="A218" s="1" t="s">
        <v>3</v>
      </c>
      <c r="B218" s="1" t="s">
        <v>3</v>
      </c>
      <c r="C218" s="1" t="s">
        <v>3</v>
      </c>
      <c r="D218" s="1" t="s">
        <v>3</v>
      </c>
      <c r="E218" s="1" t="s">
        <v>3</v>
      </c>
      <c r="F218" s="1" t="s">
        <v>3</v>
      </c>
      <c r="G218" s="1" t="s">
        <v>3</v>
      </c>
      <c r="H218" s="1" t="s">
        <v>3</v>
      </c>
      <c r="I218" s="1" t="s">
        <v>3</v>
      </c>
      <c r="J218" s="1" t="s">
        <v>3</v>
      </c>
      <c r="K218" s="1" t="s">
        <v>3</v>
      </c>
      <c r="L218" s="1" t="s">
        <v>3</v>
      </c>
      <c r="M218" s="1" t="s">
        <v>3</v>
      </c>
      <c r="N218" s="1" t="s">
        <v>3</v>
      </c>
      <c r="O218" s="1" t="s">
        <v>3</v>
      </c>
      <c r="P218" s="1" t="s">
        <v>3</v>
      </c>
      <c r="Q218" s="1" t="s">
        <v>3</v>
      </c>
      <c r="R218" s="1" t="s">
        <v>3</v>
      </c>
      <c r="S218" s="1" t="s">
        <v>3</v>
      </c>
      <c r="T218" s="1" t="s">
        <v>3</v>
      </c>
      <c r="U218" t="e">
        <f t="shared" si="21"/>
        <v>#VALUE!</v>
      </c>
      <c r="V218" t="e">
        <f t="shared" si="22"/>
        <v>#VALUE!</v>
      </c>
      <c r="W218" t="e">
        <f t="shared" si="23"/>
        <v>#VALUE!</v>
      </c>
      <c r="X218" t="e">
        <f t="shared" si="24"/>
        <v>#VALUE!</v>
      </c>
      <c r="Y218" t="e">
        <f t="shared" si="25"/>
        <v>#VALUE!</v>
      </c>
      <c r="Z218" t="e">
        <f t="shared" si="26"/>
        <v>#VALUE!</v>
      </c>
      <c r="AA218" t="e">
        <f t="shared" si="27"/>
        <v>#VALUE!</v>
      </c>
    </row>
    <row r="219" spans="1:27" x14ac:dyDescent="0.35">
      <c r="A219" s="1" t="s">
        <v>3</v>
      </c>
      <c r="B219" s="1" t="s">
        <v>3</v>
      </c>
      <c r="C219" s="1" t="s">
        <v>3</v>
      </c>
      <c r="D219" s="1" t="s">
        <v>3</v>
      </c>
      <c r="E219" s="1" t="s">
        <v>3</v>
      </c>
      <c r="F219" s="1" t="s">
        <v>3</v>
      </c>
      <c r="G219" s="1" t="s">
        <v>3</v>
      </c>
      <c r="H219" s="1" t="s">
        <v>3</v>
      </c>
      <c r="I219" s="1" t="s">
        <v>3</v>
      </c>
      <c r="J219" s="1" t="s">
        <v>3</v>
      </c>
      <c r="K219" s="1" t="s">
        <v>3</v>
      </c>
      <c r="L219" s="1" t="s">
        <v>3</v>
      </c>
      <c r="M219" s="1" t="s">
        <v>3</v>
      </c>
      <c r="N219" s="1" t="s">
        <v>3</v>
      </c>
      <c r="O219" s="1" t="s">
        <v>3</v>
      </c>
      <c r="P219" s="1" t="s">
        <v>3</v>
      </c>
      <c r="Q219" s="1" t="s">
        <v>3</v>
      </c>
      <c r="R219" s="1" t="s">
        <v>3</v>
      </c>
      <c r="S219" s="1" t="s">
        <v>3</v>
      </c>
      <c r="T219" s="1" t="s">
        <v>3</v>
      </c>
      <c r="U219" t="e">
        <f t="shared" si="21"/>
        <v>#VALUE!</v>
      </c>
      <c r="V219" t="e">
        <f t="shared" si="22"/>
        <v>#VALUE!</v>
      </c>
      <c r="W219" t="e">
        <f t="shared" si="23"/>
        <v>#VALUE!</v>
      </c>
      <c r="X219" t="e">
        <f t="shared" si="24"/>
        <v>#VALUE!</v>
      </c>
      <c r="Y219" t="e">
        <f t="shared" si="25"/>
        <v>#VALUE!</v>
      </c>
      <c r="Z219" t="e">
        <f t="shared" si="26"/>
        <v>#VALUE!</v>
      </c>
      <c r="AA219" t="e">
        <f t="shared" si="27"/>
        <v>#VALUE!</v>
      </c>
    </row>
    <row r="220" spans="1:27" x14ac:dyDescent="0.35">
      <c r="A220" s="1" t="s">
        <v>3</v>
      </c>
      <c r="B220" s="1" t="s">
        <v>3</v>
      </c>
      <c r="C220" s="1" t="s">
        <v>3</v>
      </c>
      <c r="D220" s="1" t="s">
        <v>3</v>
      </c>
      <c r="E220" s="1" t="s">
        <v>3</v>
      </c>
      <c r="F220" s="1" t="s">
        <v>3</v>
      </c>
      <c r="G220" s="1" t="s">
        <v>3</v>
      </c>
      <c r="H220" s="1" t="s">
        <v>3</v>
      </c>
      <c r="I220" s="1" t="s">
        <v>3</v>
      </c>
      <c r="J220" s="1" t="s">
        <v>3</v>
      </c>
      <c r="K220" s="1" t="s">
        <v>3</v>
      </c>
      <c r="L220" s="1" t="s">
        <v>3</v>
      </c>
      <c r="M220" s="1" t="s">
        <v>3</v>
      </c>
      <c r="N220" s="1" t="s">
        <v>3</v>
      </c>
      <c r="O220" s="1" t="s">
        <v>3</v>
      </c>
      <c r="P220" s="1" t="s">
        <v>3</v>
      </c>
      <c r="Q220" s="1" t="s">
        <v>3</v>
      </c>
      <c r="R220" s="1" t="s">
        <v>3</v>
      </c>
      <c r="S220" s="1" t="s">
        <v>3</v>
      </c>
      <c r="T220" s="1" t="s">
        <v>3</v>
      </c>
      <c r="U220" t="e">
        <f t="shared" si="21"/>
        <v>#VALUE!</v>
      </c>
      <c r="V220" t="e">
        <f t="shared" si="22"/>
        <v>#VALUE!</v>
      </c>
      <c r="W220" t="e">
        <f t="shared" si="23"/>
        <v>#VALUE!</v>
      </c>
      <c r="X220" t="e">
        <f t="shared" si="24"/>
        <v>#VALUE!</v>
      </c>
      <c r="Y220" t="e">
        <f t="shared" si="25"/>
        <v>#VALUE!</v>
      </c>
      <c r="Z220" t="e">
        <f t="shared" si="26"/>
        <v>#VALUE!</v>
      </c>
      <c r="AA220" t="e">
        <f t="shared" si="27"/>
        <v>#VALUE!</v>
      </c>
    </row>
    <row r="221" spans="1:27" x14ac:dyDescent="0.35">
      <c r="A221" s="1" t="s">
        <v>3</v>
      </c>
      <c r="B221" s="1" t="s">
        <v>3</v>
      </c>
      <c r="C221" s="1" t="s">
        <v>3</v>
      </c>
      <c r="D221" s="1" t="s">
        <v>3</v>
      </c>
      <c r="E221" s="1" t="s">
        <v>3</v>
      </c>
      <c r="F221" s="1" t="s">
        <v>3</v>
      </c>
      <c r="G221" s="1" t="s">
        <v>3</v>
      </c>
      <c r="H221" s="1" t="s">
        <v>3</v>
      </c>
      <c r="I221" s="1" t="s">
        <v>3</v>
      </c>
      <c r="J221" s="1" t="s">
        <v>3</v>
      </c>
      <c r="K221" s="1" t="s">
        <v>3</v>
      </c>
      <c r="L221" s="1" t="s">
        <v>3</v>
      </c>
      <c r="M221" s="1" t="s">
        <v>3</v>
      </c>
      <c r="N221" s="1" t="s">
        <v>3</v>
      </c>
      <c r="O221" s="1" t="s">
        <v>3</v>
      </c>
      <c r="P221" s="1" t="s">
        <v>3</v>
      </c>
      <c r="Q221" s="1" t="s">
        <v>3</v>
      </c>
      <c r="R221" s="1" t="s">
        <v>3</v>
      </c>
      <c r="S221" s="1" t="s">
        <v>3</v>
      </c>
      <c r="T221" s="1" t="s">
        <v>3</v>
      </c>
      <c r="U221" t="e">
        <f t="shared" si="21"/>
        <v>#VALUE!</v>
      </c>
      <c r="V221" t="e">
        <f t="shared" si="22"/>
        <v>#VALUE!</v>
      </c>
      <c r="W221" t="e">
        <f t="shared" si="23"/>
        <v>#VALUE!</v>
      </c>
      <c r="X221" t="e">
        <f t="shared" si="24"/>
        <v>#VALUE!</v>
      </c>
      <c r="Y221" t="e">
        <f t="shared" si="25"/>
        <v>#VALUE!</v>
      </c>
      <c r="Z221" t="e">
        <f t="shared" si="26"/>
        <v>#VALUE!</v>
      </c>
      <c r="AA221" t="e">
        <f t="shared" si="27"/>
        <v>#VALUE!</v>
      </c>
    </row>
    <row r="222" spans="1:27" x14ac:dyDescent="0.35">
      <c r="A222" s="1" t="s">
        <v>3</v>
      </c>
      <c r="B222" s="1" t="s">
        <v>3</v>
      </c>
      <c r="C222" s="1" t="s">
        <v>3</v>
      </c>
      <c r="D222" s="1" t="s">
        <v>3</v>
      </c>
      <c r="E222" s="1" t="s">
        <v>3</v>
      </c>
      <c r="F222" s="1" t="s">
        <v>3</v>
      </c>
      <c r="G222" s="1" t="s">
        <v>3</v>
      </c>
      <c r="H222" s="1" t="s">
        <v>3</v>
      </c>
      <c r="I222" s="1" t="s">
        <v>3</v>
      </c>
      <c r="J222" s="1" t="s">
        <v>3</v>
      </c>
      <c r="K222" s="1" t="s">
        <v>3</v>
      </c>
      <c r="L222" s="1" t="s">
        <v>3</v>
      </c>
      <c r="M222" s="1" t="s">
        <v>3</v>
      </c>
      <c r="N222" s="1" t="s">
        <v>3</v>
      </c>
      <c r="O222" s="1" t="s">
        <v>3</v>
      </c>
      <c r="P222" s="1" t="s">
        <v>3</v>
      </c>
      <c r="Q222" s="1" t="s">
        <v>3</v>
      </c>
      <c r="R222" s="1" t="s">
        <v>3</v>
      </c>
      <c r="S222" s="1" t="s">
        <v>3</v>
      </c>
      <c r="T222" s="1" t="s">
        <v>3</v>
      </c>
      <c r="U222" t="e">
        <f t="shared" si="21"/>
        <v>#VALUE!</v>
      </c>
      <c r="V222" t="e">
        <f t="shared" si="22"/>
        <v>#VALUE!</v>
      </c>
      <c r="W222" t="e">
        <f t="shared" si="23"/>
        <v>#VALUE!</v>
      </c>
      <c r="X222" t="e">
        <f t="shared" si="24"/>
        <v>#VALUE!</v>
      </c>
      <c r="Y222" t="e">
        <f t="shared" si="25"/>
        <v>#VALUE!</v>
      </c>
      <c r="Z222" t="e">
        <f t="shared" si="26"/>
        <v>#VALUE!</v>
      </c>
      <c r="AA222" t="e">
        <f t="shared" si="27"/>
        <v>#VALUE!</v>
      </c>
    </row>
    <row r="223" spans="1:27" x14ac:dyDescent="0.35">
      <c r="A223" s="1" t="s">
        <v>3</v>
      </c>
      <c r="B223" s="1" t="s">
        <v>3</v>
      </c>
      <c r="C223" s="1" t="s">
        <v>3</v>
      </c>
      <c r="D223" s="1" t="s">
        <v>3</v>
      </c>
      <c r="E223" s="1" t="s">
        <v>3</v>
      </c>
      <c r="F223" s="1" t="s">
        <v>3</v>
      </c>
      <c r="G223" s="1" t="s">
        <v>3</v>
      </c>
      <c r="H223" s="1" t="s">
        <v>3</v>
      </c>
      <c r="I223" s="1" t="s">
        <v>3</v>
      </c>
      <c r="J223" s="1" t="s">
        <v>3</v>
      </c>
      <c r="K223" s="1" t="s">
        <v>3</v>
      </c>
      <c r="L223" s="1" t="s">
        <v>3</v>
      </c>
      <c r="M223" s="1" t="s">
        <v>3</v>
      </c>
      <c r="N223" s="1" t="s">
        <v>3</v>
      </c>
      <c r="O223" s="1" t="s">
        <v>3</v>
      </c>
      <c r="P223" s="1" t="s">
        <v>3</v>
      </c>
      <c r="Q223" s="1" t="s">
        <v>3</v>
      </c>
      <c r="R223" s="1" t="s">
        <v>3</v>
      </c>
      <c r="S223" s="1" t="s">
        <v>3</v>
      </c>
      <c r="T223" s="1" t="s">
        <v>3</v>
      </c>
      <c r="U223" t="e">
        <f t="shared" si="21"/>
        <v>#VALUE!</v>
      </c>
      <c r="V223" t="e">
        <f t="shared" si="22"/>
        <v>#VALUE!</v>
      </c>
      <c r="W223" t="e">
        <f t="shared" si="23"/>
        <v>#VALUE!</v>
      </c>
      <c r="X223" t="e">
        <f t="shared" si="24"/>
        <v>#VALUE!</v>
      </c>
      <c r="Y223" t="e">
        <f t="shared" si="25"/>
        <v>#VALUE!</v>
      </c>
      <c r="Z223" t="e">
        <f t="shared" si="26"/>
        <v>#VALUE!</v>
      </c>
      <c r="AA223" t="e">
        <f t="shared" si="27"/>
        <v>#VALUE!</v>
      </c>
    </row>
    <row r="224" spans="1:27" x14ac:dyDescent="0.35">
      <c r="A224" s="1" t="s">
        <v>3</v>
      </c>
      <c r="B224" s="1" t="s">
        <v>3</v>
      </c>
      <c r="C224" s="1" t="s">
        <v>3</v>
      </c>
      <c r="D224" s="1" t="s">
        <v>3</v>
      </c>
      <c r="E224" s="1" t="s">
        <v>3</v>
      </c>
      <c r="F224" s="1" t="s">
        <v>3</v>
      </c>
      <c r="G224" s="1" t="s">
        <v>3</v>
      </c>
      <c r="H224" s="1" t="s">
        <v>3</v>
      </c>
      <c r="I224" s="1" t="s">
        <v>3</v>
      </c>
      <c r="J224" s="1" t="s">
        <v>3</v>
      </c>
      <c r="K224" s="1" t="s">
        <v>3</v>
      </c>
      <c r="L224" s="1" t="s">
        <v>3</v>
      </c>
      <c r="M224" s="1" t="s">
        <v>3</v>
      </c>
      <c r="N224" s="1" t="s">
        <v>3</v>
      </c>
      <c r="O224" s="1" t="s">
        <v>3</v>
      </c>
      <c r="P224" s="1" t="s">
        <v>3</v>
      </c>
      <c r="Q224" s="1" t="s">
        <v>3</v>
      </c>
      <c r="R224" s="1" t="s">
        <v>3</v>
      </c>
      <c r="S224" s="1" t="s">
        <v>3</v>
      </c>
      <c r="T224" s="1" t="s">
        <v>3</v>
      </c>
      <c r="U224" t="e">
        <f t="shared" si="21"/>
        <v>#VALUE!</v>
      </c>
      <c r="V224" t="e">
        <f t="shared" si="22"/>
        <v>#VALUE!</v>
      </c>
      <c r="W224" t="e">
        <f t="shared" si="23"/>
        <v>#VALUE!</v>
      </c>
      <c r="X224" t="e">
        <f t="shared" si="24"/>
        <v>#VALUE!</v>
      </c>
      <c r="Y224" t="e">
        <f t="shared" si="25"/>
        <v>#VALUE!</v>
      </c>
      <c r="Z224" t="e">
        <f t="shared" si="26"/>
        <v>#VALUE!</v>
      </c>
      <c r="AA224" t="e">
        <f t="shared" si="27"/>
        <v>#VALUE!</v>
      </c>
    </row>
    <row r="225" spans="1:27" x14ac:dyDescent="0.35">
      <c r="A225" s="1" t="s">
        <v>3</v>
      </c>
      <c r="B225" s="1" t="s">
        <v>3</v>
      </c>
      <c r="C225" s="1" t="s">
        <v>3</v>
      </c>
      <c r="D225" s="1" t="s">
        <v>3</v>
      </c>
      <c r="E225" s="1" t="s">
        <v>3</v>
      </c>
      <c r="F225" s="1" t="s">
        <v>3</v>
      </c>
      <c r="G225" s="1" t="s">
        <v>3</v>
      </c>
      <c r="H225" s="1" t="s">
        <v>3</v>
      </c>
      <c r="I225" s="1" t="s">
        <v>3</v>
      </c>
      <c r="J225" s="1" t="s">
        <v>3</v>
      </c>
      <c r="K225" s="1" t="s">
        <v>3</v>
      </c>
      <c r="L225" s="1" t="s">
        <v>3</v>
      </c>
      <c r="M225" s="1" t="s">
        <v>3</v>
      </c>
      <c r="N225" s="1" t="s">
        <v>3</v>
      </c>
      <c r="O225" s="1" t="s">
        <v>3</v>
      </c>
      <c r="P225" s="1" t="s">
        <v>3</v>
      </c>
      <c r="Q225" s="1" t="s">
        <v>3</v>
      </c>
      <c r="R225" s="1" t="s">
        <v>3</v>
      </c>
      <c r="S225" s="1" t="s">
        <v>3</v>
      </c>
      <c r="T225" s="1" t="s">
        <v>3</v>
      </c>
      <c r="U225" t="e">
        <f t="shared" si="21"/>
        <v>#VALUE!</v>
      </c>
      <c r="V225" t="e">
        <f t="shared" si="22"/>
        <v>#VALUE!</v>
      </c>
      <c r="W225" t="e">
        <f t="shared" si="23"/>
        <v>#VALUE!</v>
      </c>
      <c r="X225" t="e">
        <f t="shared" si="24"/>
        <v>#VALUE!</v>
      </c>
      <c r="Y225" t="e">
        <f t="shared" si="25"/>
        <v>#VALUE!</v>
      </c>
      <c r="Z225" t="e">
        <f t="shared" si="26"/>
        <v>#VALUE!</v>
      </c>
      <c r="AA225" t="e">
        <f t="shared" si="27"/>
        <v>#VALUE!</v>
      </c>
    </row>
    <row r="226" spans="1:27" x14ac:dyDescent="0.35">
      <c r="A226" s="1" t="s">
        <v>3</v>
      </c>
      <c r="B226" s="1" t="s">
        <v>3</v>
      </c>
      <c r="C226" s="1" t="s">
        <v>3</v>
      </c>
      <c r="D226" s="1">
        <v>0</v>
      </c>
      <c r="E226" s="1">
        <v>0</v>
      </c>
      <c r="F226" s="1" t="s">
        <v>3</v>
      </c>
      <c r="G226" s="1" t="s">
        <v>3</v>
      </c>
      <c r="H226" s="1" t="s">
        <v>3</v>
      </c>
      <c r="I226" s="1">
        <v>1</v>
      </c>
      <c r="J226" s="1">
        <v>-59262183</v>
      </c>
      <c r="K226" s="1">
        <v>279940737817</v>
      </c>
      <c r="L226" s="1">
        <v>279940737817</v>
      </c>
      <c r="M226" s="1">
        <v>-59262183</v>
      </c>
      <c r="N226" s="1">
        <v>0</v>
      </c>
      <c r="O226" s="1">
        <v>-59262183</v>
      </c>
      <c r="P226" s="1">
        <v>0</v>
      </c>
      <c r="Q226" s="1">
        <v>279940737817</v>
      </c>
      <c r="R226" s="1">
        <v>0</v>
      </c>
      <c r="S226" s="1">
        <v>-57902765</v>
      </c>
      <c r="T226" s="1">
        <v>-2.1000000000000001E-4</v>
      </c>
      <c r="U226" t="e">
        <f t="shared" si="21"/>
        <v>#DIV/0!</v>
      </c>
      <c r="V226" t="e">
        <f t="shared" si="22"/>
        <v>#DIV/0!</v>
      </c>
      <c r="W226">
        <f t="shared" si="23"/>
        <v>1.7062925316674793</v>
      </c>
      <c r="X226" t="e">
        <f t="shared" si="24"/>
        <v>#DIV/0!</v>
      </c>
      <c r="Y226" t="e">
        <f t="shared" si="25"/>
        <v>#DIV/0!</v>
      </c>
      <c r="Z226">
        <f t="shared" si="26"/>
        <v>0</v>
      </c>
      <c r="AA226" t="e">
        <f t="shared" si="27"/>
        <v>#DIV/0!</v>
      </c>
    </row>
    <row r="227" spans="1:27" x14ac:dyDescent="0.35">
      <c r="A227" s="1">
        <v>-4.2386841902273001E-2</v>
      </c>
      <c r="B227" s="1">
        <v>-4.9855857902148998E-2</v>
      </c>
      <c r="C227" s="1">
        <v>-4.3965360874199998E-4</v>
      </c>
      <c r="D227" s="1">
        <v>0</v>
      </c>
      <c r="E227" s="1">
        <v>0</v>
      </c>
      <c r="F227" s="1" t="s">
        <v>3</v>
      </c>
      <c r="G227" s="1">
        <v>2.8432200000000001</v>
      </c>
      <c r="H227" s="1">
        <v>0</v>
      </c>
      <c r="I227" s="1">
        <v>0.48039999999999999</v>
      </c>
      <c r="J227" s="1">
        <v>-169879531</v>
      </c>
      <c r="K227" s="1">
        <v>181801205743</v>
      </c>
      <c r="L227" s="1">
        <v>378433737553</v>
      </c>
      <c r="M227" s="1">
        <v>-139532074</v>
      </c>
      <c r="N227" s="1">
        <v>0</v>
      </c>
      <c r="O227" s="1">
        <v>-139532074</v>
      </c>
      <c r="P227" s="1">
        <v>0</v>
      </c>
      <c r="Q227" s="1">
        <v>280433737553</v>
      </c>
      <c r="R227" s="1">
        <v>98632531810</v>
      </c>
      <c r="S227" s="1">
        <v>-144728357</v>
      </c>
      <c r="T227" s="1">
        <v>-5.2999999999999998E-4</v>
      </c>
      <c r="U227">
        <f t="shared" si="21"/>
        <v>0.49270868728035883</v>
      </c>
      <c r="V227">
        <f t="shared" si="22"/>
        <v>-4.2869679378474839</v>
      </c>
      <c r="W227">
        <f t="shared" si="23"/>
        <v>0.84835941624019695</v>
      </c>
      <c r="X227">
        <f t="shared" si="24"/>
        <v>1</v>
      </c>
      <c r="Y227">
        <f t="shared" si="25"/>
        <v>0</v>
      </c>
      <c r="Z227">
        <f t="shared" si="26"/>
        <v>0</v>
      </c>
      <c r="AA227">
        <f t="shared" si="27"/>
        <v>0</v>
      </c>
    </row>
    <row r="228" spans="1:27" x14ac:dyDescent="0.35">
      <c r="A228" s="1">
        <v>22.138017899084002</v>
      </c>
      <c r="B228" s="1">
        <v>27.750731489338101</v>
      </c>
      <c r="C228" s="1">
        <v>0.22522621649121499</v>
      </c>
      <c r="D228" s="1">
        <v>12.16356</v>
      </c>
      <c r="E228" s="1">
        <v>10.31967</v>
      </c>
      <c r="F228" s="1">
        <v>911.73163999999997</v>
      </c>
      <c r="G228" s="1">
        <v>4.8971299999999998</v>
      </c>
      <c r="H228" s="1">
        <v>0.62108045345753704</v>
      </c>
      <c r="I228" s="1">
        <v>0.26740000000000003</v>
      </c>
      <c r="J228" s="1">
        <v>75828879269</v>
      </c>
      <c r="K228" s="1">
        <v>116602583318</v>
      </c>
      <c r="L228">
        <v>436060259371</v>
      </c>
      <c r="M228">
        <v>93191611184</v>
      </c>
      <c r="N228">
        <v>252933150474</v>
      </c>
      <c r="O228" s="1">
        <v>90156413413</v>
      </c>
      <c r="P228" s="1">
        <v>45000000000</v>
      </c>
      <c r="Q228">
        <v>146522672779</v>
      </c>
      <c r="R228">
        <v>29920089461</v>
      </c>
      <c r="S228">
        <v>91722700641</v>
      </c>
      <c r="T228">
        <v>0.20630000000000001</v>
      </c>
      <c r="U228">
        <f t="shared" si="21"/>
        <v>3.2088863910075665</v>
      </c>
      <c r="V228">
        <f t="shared" si="22"/>
        <v>-4.6225748645929734</v>
      </c>
      <c r="W228">
        <f t="shared" si="23"/>
        <v>1.2175295992834685</v>
      </c>
      <c r="X228">
        <f t="shared" si="24"/>
        <v>0</v>
      </c>
      <c r="Y228">
        <f t="shared" si="25"/>
        <v>0</v>
      </c>
      <c r="Z228">
        <f t="shared" si="26"/>
        <v>0</v>
      </c>
      <c r="AA228">
        <f t="shared" si="27"/>
        <v>0</v>
      </c>
    </row>
    <row r="229" spans="1:27" x14ac:dyDescent="0.35">
      <c r="A229" s="1">
        <v>24.736270198128398</v>
      </c>
      <c r="B229" s="1">
        <v>26.654749927995699</v>
      </c>
      <c r="C229" s="1">
        <v>0.25034582901334901</v>
      </c>
      <c r="D229" s="1">
        <v>0</v>
      </c>
      <c r="E229" s="1">
        <v>0</v>
      </c>
      <c r="F229" s="1">
        <v>111.35814999999999</v>
      </c>
      <c r="G229" s="1">
        <v>11.36084</v>
      </c>
      <c r="H229" s="1">
        <v>0.64449173898339696</v>
      </c>
      <c r="I229" s="1">
        <v>0.23605999999999999</v>
      </c>
      <c r="J229" s="1">
        <v>130756945378</v>
      </c>
      <c r="K229" s="1">
        <v>169078838769</v>
      </c>
      <c r="L229">
        <v>716248016157</v>
      </c>
      <c r="M229">
        <v>146974963211</v>
      </c>
      <c r="N229">
        <v>371326582170</v>
      </c>
      <c r="O229" s="1">
        <v>142519044275</v>
      </c>
      <c r="P229" s="1">
        <v>0</v>
      </c>
      <c r="Q229">
        <v>185397859942</v>
      </c>
      <c r="R229">
        <v>16319021173</v>
      </c>
      <c r="S229">
        <v>144237785258</v>
      </c>
      <c r="T229">
        <v>0.27715000000000001</v>
      </c>
      <c r="U229">
        <f t="shared" si="21"/>
        <v>7.0129494115277611</v>
      </c>
      <c r="V229">
        <f t="shared" si="22"/>
        <v>-5.1499667105739242</v>
      </c>
      <c r="W229">
        <f t="shared" si="23"/>
        <v>1.1351821272454421</v>
      </c>
      <c r="X229">
        <f t="shared" si="24"/>
        <v>0</v>
      </c>
      <c r="Y229">
        <f t="shared" si="25"/>
        <v>0</v>
      </c>
      <c r="Z229">
        <f t="shared" si="26"/>
        <v>0</v>
      </c>
      <c r="AA229">
        <f t="shared" si="27"/>
        <v>0</v>
      </c>
    </row>
    <row r="230" spans="1:27" x14ac:dyDescent="0.35">
      <c r="A230" s="1">
        <v>22.492980936731001</v>
      </c>
      <c r="B230" s="1">
        <v>25.269013939556199</v>
      </c>
      <c r="C230" s="1">
        <v>0.237684501118751</v>
      </c>
      <c r="D230" s="1">
        <v>14.347770000000001</v>
      </c>
      <c r="E230" s="1">
        <v>11.92299</v>
      </c>
      <c r="F230" s="1">
        <v>22.407530000000001</v>
      </c>
      <c r="G230" s="1">
        <v>3.8906900000000002</v>
      </c>
      <c r="H230" s="1">
        <v>0.65340677918520995</v>
      </c>
      <c r="I230" s="1">
        <v>0.2235</v>
      </c>
      <c r="J230" s="1">
        <v>176010520264</v>
      </c>
      <c r="K230" s="1">
        <v>233745306431</v>
      </c>
      <c r="L230">
        <v>1045826465295</v>
      </c>
      <c r="M230">
        <v>205079646994</v>
      </c>
      <c r="N230">
        <v>575675705805</v>
      </c>
      <c r="O230" s="1">
        <v>198171538602</v>
      </c>
      <c r="P230" s="1">
        <v>124693750000</v>
      </c>
      <c r="Q230">
        <v>314606629861</v>
      </c>
      <c r="R230">
        <v>80861323430</v>
      </c>
      <c r="S230">
        <v>209408897029</v>
      </c>
      <c r="T230">
        <v>0.35204000000000002</v>
      </c>
      <c r="U230">
        <f t="shared" si="21"/>
        <v>2.7389884722161262</v>
      </c>
      <c r="V230">
        <f t="shared" si="22"/>
        <v>-4.4575228711703963</v>
      </c>
      <c r="W230">
        <f t="shared" si="23"/>
        <v>1.1104045774073461</v>
      </c>
      <c r="X230">
        <f t="shared" si="24"/>
        <v>0</v>
      </c>
      <c r="Y230">
        <f t="shared" si="25"/>
        <v>0</v>
      </c>
      <c r="Z230">
        <f t="shared" si="26"/>
        <v>0</v>
      </c>
      <c r="AA230">
        <f t="shared" si="27"/>
        <v>0</v>
      </c>
    </row>
    <row r="231" spans="1:27" x14ac:dyDescent="0.35">
      <c r="A231" s="1">
        <v>11.7005678301194</v>
      </c>
      <c r="B231" s="1">
        <v>15.382774325540399</v>
      </c>
      <c r="C231" s="1">
        <v>0.134649183664862</v>
      </c>
      <c r="D231" s="1">
        <v>35.173630000000003</v>
      </c>
      <c r="E231" s="1">
        <v>24.86917</v>
      </c>
      <c r="F231" s="1">
        <v>13.36347</v>
      </c>
      <c r="G231" s="1">
        <v>1.1237900000000001</v>
      </c>
      <c r="H231" s="1">
        <v>0.61854779053013398</v>
      </c>
      <c r="I231" s="1">
        <v>2.1690000000000001E-2</v>
      </c>
      <c r="J231" s="1">
        <v>198575964378</v>
      </c>
      <c r="K231" s="1">
        <v>29786138350</v>
      </c>
      <c r="L231">
        <v>1373383918028</v>
      </c>
      <c r="M231">
        <v>150509059251</v>
      </c>
      <c r="N231">
        <v>748198618716</v>
      </c>
      <c r="O231" s="1">
        <v>141530675927</v>
      </c>
      <c r="P231" s="1">
        <v>341549178297</v>
      </c>
      <c r="Q231">
        <v>270409116744</v>
      </c>
      <c r="R231">
        <v>240622978394</v>
      </c>
      <c r="S231">
        <v>162872351614</v>
      </c>
      <c r="T231">
        <v>0.34232000000000001</v>
      </c>
      <c r="U231">
        <f t="shared" si="21"/>
        <v>1.0171584522211772</v>
      </c>
      <c r="V231">
        <f t="shared" si="22"/>
        <v>-3.3416985195813704</v>
      </c>
      <c r="W231">
        <f t="shared" si="23"/>
        <v>0.49812144902372196</v>
      </c>
      <c r="X231">
        <f t="shared" si="24"/>
        <v>0</v>
      </c>
      <c r="Y231">
        <f t="shared" si="25"/>
        <v>0</v>
      </c>
      <c r="Z231">
        <f t="shared" si="26"/>
        <v>0</v>
      </c>
      <c r="AA231">
        <f t="shared" si="27"/>
        <v>0</v>
      </c>
    </row>
    <row r="232" spans="1:27" x14ac:dyDescent="0.35">
      <c r="A232" s="1" t="s">
        <v>3</v>
      </c>
      <c r="B232" s="1" t="s">
        <v>3</v>
      </c>
      <c r="C232" s="1" t="s">
        <v>3</v>
      </c>
      <c r="D232" s="1" t="s">
        <v>3</v>
      </c>
      <c r="E232" s="1" t="s">
        <v>3</v>
      </c>
      <c r="F232" s="1" t="s">
        <v>3</v>
      </c>
      <c r="G232" s="1" t="s">
        <v>3</v>
      </c>
      <c r="H232" s="1" t="s">
        <v>3</v>
      </c>
      <c r="I232" s="1" t="s">
        <v>3</v>
      </c>
      <c r="J232" s="1" t="s">
        <v>3</v>
      </c>
      <c r="K232" s="1" t="s">
        <v>3</v>
      </c>
      <c r="L232" s="1" t="s">
        <v>3</v>
      </c>
      <c r="M232" s="1" t="s">
        <v>3</v>
      </c>
      <c r="N232" s="1" t="s">
        <v>3</v>
      </c>
      <c r="O232" s="1" t="s">
        <v>3</v>
      </c>
      <c r="P232" s="1" t="s">
        <v>3</v>
      </c>
      <c r="Q232" s="1" t="s">
        <v>3</v>
      </c>
      <c r="R232" s="1" t="s">
        <v>3</v>
      </c>
      <c r="S232" s="1" t="s">
        <v>3</v>
      </c>
      <c r="T232" s="1" t="s">
        <v>3</v>
      </c>
      <c r="U232" t="e">
        <f t="shared" si="21"/>
        <v>#VALUE!</v>
      </c>
      <c r="V232" t="e">
        <f t="shared" si="22"/>
        <v>#VALUE!</v>
      </c>
      <c r="W232" t="e">
        <f t="shared" si="23"/>
        <v>#VALUE!</v>
      </c>
      <c r="X232" t="e">
        <f t="shared" si="24"/>
        <v>#VALUE!</v>
      </c>
      <c r="Y232" t="e">
        <f t="shared" si="25"/>
        <v>#VALUE!</v>
      </c>
      <c r="Z232" t="e">
        <f t="shared" si="26"/>
        <v>#VALUE!</v>
      </c>
      <c r="AA232" t="e">
        <f t="shared" si="27"/>
        <v>#VALUE!</v>
      </c>
    </row>
    <row r="233" spans="1:27" x14ac:dyDescent="0.35">
      <c r="A233" s="1" t="s">
        <v>3</v>
      </c>
      <c r="B233" s="1" t="s">
        <v>3</v>
      </c>
      <c r="C233" s="1" t="s">
        <v>3</v>
      </c>
      <c r="D233" s="1" t="s">
        <v>3</v>
      </c>
      <c r="E233" s="1" t="s">
        <v>3</v>
      </c>
      <c r="F233" s="1" t="s">
        <v>3</v>
      </c>
      <c r="G233" s="1" t="s">
        <v>3</v>
      </c>
      <c r="H233" s="1" t="s">
        <v>3</v>
      </c>
      <c r="I233" s="1" t="s">
        <v>3</v>
      </c>
      <c r="J233" s="1" t="s">
        <v>3</v>
      </c>
      <c r="K233" s="1" t="s">
        <v>3</v>
      </c>
      <c r="L233" s="1" t="s">
        <v>3</v>
      </c>
      <c r="M233" s="1" t="s">
        <v>3</v>
      </c>
      <c r="N233" s="1" t="s">
        <v>3</v>
      </c>
      <c r="O233" s="1" t="s">
        <v>3</v>
      </c>
      <c r="P233" s="1" t="s">
        <v>3</v>
      </c>
      <c r="Q233" s="1" t="s">
        <v>3</v>
      </c>
      <c r="R233" s="1" t="s">
        <v>3</v>
      </c>
      <c r="S233" s="1" t="s">
        <v>3</v>
      </c>
      <c r="T233" s="1" t="s">
        <v>3</v>
      </c>
      <c r="U233" t="e">
        <f t="shared" si="21"/>
        <v>#VALUE!</v>
      </c>
      <c r="V233" t="e">
        <f t="shared" si="22"/>
        <v>#VALUE!</v>
      </c>
      <c r="W233" t="e">
        <f t="shared" si="23"/>
        <v>#VALUE!</v>
      </c>
      <c r="X233" t="e">
        <f t="shared" si="24"/>
        <v>#VALUE!</v>
      </c>
      <c r="Y233" t="e">
        <f t="shared" si="25"/>
        <v>#VALUE!</v>
      </c>
      <c r="Z233" t="e">
        <f t="shared" si="26"/>
        <v>#VALUE!</v>
      </c>
      <c r="AA233" t="e">
        <f t="shared" si="27"/>
        <v>#VALUE!</v>
      </c>
    </row>
    <row r="234" spans="1:27" x14ac:dyDescent="0.35">
      <c r="A234" s="1" t="s">
        <v>3</v>
      </c>
      <c r="B234" s="1" t="s">
        <v>3</v>
      </c>
      <c r="C234" s="1" t="s">
        <v>3</v>
      </c>
      <c r="D234" s="1" t="s">
        <v>3</v>
      </c>
      <c r="E234" s="1" t="s">
        <v>3</v>
      </c>
      <c r="F234" s="1" t="s">
        <v>3</v>
      </c>
      <c r="G234" s="1" t="s">
        <v>3</v>
      </c>
      <c r="H234" s="1" t="s">
        <v>3</v>
      </c>
      <c r="I234" s="1" t="s">
        <v>3</v>
      </c>
      <c r="J234" s="1" t="s">
        <v>3</v>
      </c>
      <c r="K234" s="1" t="s">
        <v>3</v>
      </c>
      <c r="L234" s="1" t="s">
        <v>3</v>
      </c>
      <c r="M234" s="1" t="s">
        <v>3</v>
      </c>
      <c r="N234" s="1" t="s">
        <v>3</v>
      </c>
      <c r="O234" s="1" t="s">
        <v>3</v>
      </c>
      <c r="P234" s="1" t="s">
        <v>3</v>
      </c>
      <c r="Q234" s="1" t="s">
        <v>3</v>
      </c>
      <c r="R234" s="1" t="s">
        <v>3</v>
      </c>
      <c r="S234" s="1" t="s">
        <v>3</v>
      </c>
      <c r="T234" s="1" t="s">
        <v>3</v>
      </c>
      <c r="U234" t="e">
        <f t="shared" si="21"/>
        <v>#VALUE!</v>
      </c>
      <c r="V234" t="e">
        <f t="shared" si="22"/>
        <v>#VALUE!</v>
      </c>
      <c r="W234" t="e">
        <f t="shared" si="23"/>
        <v>#VALUE!</v>
      </c>
      <c r="X234" t="e">
        <f t="shared" si="24"/>
        <v>#VALUE!</v>
      </c>
      <c r="Y234" t="e">
        <f t="shared" si="25"/>
        <v>#VALUE!</v>
      </c>
      <c r="Z234" t="e">
        <f t="shared" si="26"/>
        <v>#VALUE!</v>
      </c>
      <c r="AA234" t="e">
        <f t="shared" si="27"/>
        <v>#VALUE!</v>
      </c>
    </row>
    <row r="235" spans="1:27" x14ac:dyDescent="0.35">
      <c r="A235" s="1" t="s">
        <v>3</v>
      </c>
      <c r="B235" s="1" t="s">
        <v>3</v>
      </c>
      <c r="C235" s="1" t="s">
        <v>3</v>
      </c>
      <c r="D235" s="1" t="s">
        <v>3</v>
      </c>
      <c r="E235" s="1" t="s">
        <v>3</v>
      </c>
      <c r="F235" s="1" t="s">
        <v>3</v>
      </c>
      <c r="G235" s="1" t="s">
        <v>3</v>
      </c>
      <c r="H235" s="1" t="s">
        <v>3</v>
      </c>
      <c r="I235" s="1" t="s">
        <v>3</v>
      </c>
      <c r="J235" s="1" t="s">
        <v>3</v>
      </c>
      <c r="K235" s="1" t="s">
        <v>3</v>
      </c>
      <c r="L235" s="1" t="s">
        <v>3</v>
      </c>
      <c r="M235" s="1" t="s">
        <v>3</v>
      </c>
      <c r="N235" s="1" t="s">
        <v>3</v>
      </c>
      <c r="O235" s="1" t="s">
        <v>3</v>
      </c>
      <c r="P235" s="1" t="s">
        <v>3</v>
      </c>
      <c r="Q235" s="1" t="s">
        <v>3</v>
      </c>
      <c r="R235" s="1" t="s">
        <v>3</v>
      </c>
      <c r="S235" s="1" t="s">
        <v>3</v>
      </c>
      <c r="T235" s="1" t="s">
        <v>3</v>
      </c>
      <c r="U235" t="e">
        <f t="shared" si="21"/>
        <v>#VALUE!</v>
      </c>
      <c r="V235" t="e">
        <f t="shared" si="22"/>
        <v>#VALUE!</v>
      </c>
      <c r="W235" t="e">
        <f t="shared" si="23"/>
        <v>#VALUE!</v>
      </c>
      <c r="X235" t="e">
        <f t="shared" si="24"/>
        <v>#VALUE!</v>
      </c>
      <c r="Y235" t="e">
        <f t="shared" si="25"/>
        <v>#VALUE!</v>
      </c>
      <c r="Z235" t="e">
        <f t="shared" si="26"/>
        <v>#VALUE!</v>
      </c>
      <c r="AA235" t="e">
        <f t="shared" si="27"/>
        <v>#VALUE!</v>
      </c>
    </row>
    <row r="236" spans="1:27" x14ac:dyDescent="0.35">
      <c r="A236" s="1" t="s">
        <v>3</v>
      </c>
      <c r="B236" s="1" t="s">
        <v>3</v>
      </c>
      <c r="C236" s="1" t="s">
        <v>3</v>
      </c>
      <c r="D236" s="1" t="s">
        <v>3</v>
      </c>
      <c r="E236" s="1" t="s">
        <v>3</v>
      </c>
      <c r="F236" s="1" t="s">
        <v>3</v>
      </c>
      <c r="G236" s="1" t="s">
        <v>3</v>
      </c>
      <c r="H236" s="1" t="s">
        <v>3</v>
      </c>
      <c r="I236" s="1" t="s">
        <v>3</v>
      </c>
      <c r="J236" s="1" t="s">
        <v>3</v>
      </c>
      <c r="K236" s="1" t="s">
        <v>3</v>
      </c>
      <c r="L236" s="1" t="s">
        <v>3</v>
      </c>
      <c r="M236" s="1" t="s">
        <v>3</v>
      </c>
      <c r="N236" s="1" t="s">
        <v>3</v>
      </c>
      <c r="O236" s="1" t="s">
        <v>3</v>
      </c>
      <c r="P236" s="1" t="s">
        <v>3</v>
      </c>
      <c r="Q236" s="1" t="s">
        <v>3</v>
      </c>
      <c r="R236" s="1" t="s">
        <v>3</v>
      </c>
      <c r="S236" s="1" t="s">
        <v>3</v>
      </c>
      <c r="T236" s="1" t="s">
        <v>3</v>
      </c>
      <c r="U236" t="e">
        <f t="shared" si="21"/>
        <v>#VALUE!</v>
      </c>
      <c r="V236" t="e">
        <f t="shared" si="22"/>
        <v>#VALUE!</v>
      </c>
      <c r="W236" t="e">
        <f t="shared" si="23"/>
        <v>#VALUE!</v>
      </c>
      <c r="X236" t="e">
        <f t="shared" si="24"/>
        <v>#VALUE!</v>
      </c>
      <c r="Y236" t="e">
        <f t="shared" si="25"/>
        <v>#VALUE!</v>
      </c>
      <c r="Z236" t="e">
        <f t="shared" si="26"/>
        <v>#VALUE!</v>
      </c>
      <c r="AA236" t="e">
        <f t="shared" si="27"/>
        <v>#VALUE!</v>
      </c>
    </row>
    <row r="237" spans="1:27" x14ac:dyDescent="0.35">
      <c r="A237" s="1" t="s">
        <v>3</v>
      </c>
      <c r="B237" s="1" t="s">
        <v>3</v>
      </c>
      <c r="C237" s="1" t="s">
        <v>3</v>
      </c>
      <c r="D237" s="1" t="s">
        <v>3</v>
      </c>
      <c r="E237" s="1" t="s">
        <v>3</v>
      </c>
      <c r="F237" s="1" t="s">
        <v>3</v>
      </c>
      <c r="G237" s="1" t="s">
        <v>3</v>
      </c>
      <c r="H237" s="1" t="s">
        <v>3</v>
      </c>
      <c r="I237" s="1" t="s">
        <v>3</v>
      </c>
      <c r="J237" s="1" t="s">
        <v>3</v>
      </c>
      <c r="K237" s="1" t="s">
        <v>3</v>
      </c>
      <c r="L237" s="1" t="s">
        <v>3</v>
      </c>
      <c r="M237" s="1" t="s">
        <v>3</v>
      </c>
      <c r="N237" s="1" t="s">
        <v>3</v>
      </c>
      <c r="O237" s="1" t="s">
        <v>3</v>
      </c>
      <c r="P237" s="1" t="s">
        <v>3</v>
      </c>
      <c r="Q237" s="1" t="s">
        <v>3</v>
      </c>
      <c r="R237" s="1" t="s">
        <v>3</v>
      </c>
      <c r="S237" s="1" t="s">
        <v>3</v>
      </c>
      <c r="T237" s="1" t="s">
        <v>3</v>
      </c>
      <c r="U237" t="e">
        <f t="shared" si="21"/>
        <v>#VALUE!</v>
      </c>
      <c r="V237" t="e">
        <f t="shared" si="22"/>
        <v>#VALUE!</v>
      </c>
      <c r="W237" t="e">
        <f t="shared" si="23"/>
        <v>#VALUE!</v>
      </c>
      <c r="X237" t="e">
        <f t="shared" si="24"/>
        <v>#VALUE!</v>
      </c>
      <c r="Y237" t="e">
        <f t="shared" si="25"/>
        <v>#VALUE!</v>
      </c>
      <c r="Z237" t="e">
        <f t="shared" si="26"/>
        <v>#VALUE!</v>
      </c>
      <c r="AA237" t="e">
        <f t="shared" si="27"/>
        <v>#VALUE!</v>
      </c>
    </row>
    <row r="238" spans="1:27" x14ac:dyDescent="0.35">
      <c r="A238" s="1" t="s">
        <v>3</v>
      </c>
      <c r="B238" s="1" t="s">
        <v>3</v>
      </c>
      <c r="C238" s="1" t="s">
        <v>3</v>
      </c>
      <c r="D238" s="1">
        <v>457.77096999999998</v>
      </c>
      <c r="E238" s="1">
        <v>78.169070000000005</v>
      </c>
      <c r="F238" s="1">
        <v>16.501709999999999</v>
      </c>
      <c r="G238" s="1">
        <v>1.12761</v>
      </c>
      <c r="H238" s="1" t="s">
        <v>3</v>
      </c>
      <c r="I238" s="1">
        <v>6.062E-2</v>
      </c>
      <c r="J238" s="1">
        <v>-798466685069</v>
      </c>
      <c r="K238" s="1">
        <v>155467761521</v>
      </c>
      <c r="L238" s="1">
        <v>2564636181250</v>
      </c>
      <c r="M238" s="1">
        <v>62982328094</v>
      </c>
      <c r="N238" s="1">
        <v>504980062626</v>
      </c>
      <c r="O238" s="1">
        <v>48102467138</v>
      </c>
      <c r="P238" s="1">
        <v>2004752259543</v>
      </c>
      <c r="Q238" s="1">
        <v>1373755184236</v>
      </c>
      <c r="R238" s="1">
        <v>1218287422715</v>
      </c>
      <c r="S238" s="1">
        <v>53563312131</v>
      </c>
      <c r="T238" s="1">
        <v>0</v>
      </c>
      <c r="U238">
        <f t="shared" si="21"/>
        <v>0.23943721798438095</v>
      </c>
      <c r="V238">
        <f t="shared" si="22"/>
        <v>7.5745189375863331E-2</v>
      </c>
      <c r="W238">
        <f t="shared" si="23"/>
        <v>0.22841650098046706</v>
      </c>
      <c r="X238">
        <f t="shared" si="24"/>
        <v>1</v>
      </c>
      <c r="Y238">
        <f t="shared" si="25"/>
        <v>1</v>
      </c>
      <c r="Z238">
        <f t="shared" si="26"/>
        <v>0</v>
      </c>
      <c r="AA238">
        <f t="shared" si="27"/>
        <v>1</v>
      </c>
    </row>
    <row r="239" spans="1:27" x14ac:dyDescent="0.35">
      <c r="A239" s="1">
        <v>1.4518152638711601</v>
      </c>
      <c r="B239" s="1">
        <v>-20.542783981898701</v>
      </c>
      <c r="C239" s="1">
        <v>1.6484334051163001E-2</v>
      </c>
      <c r="D239" s="1">
        <v>309.28386</v>
      </c>
      <c r="E239" s="1">
        <v>72.903049999999993</v>
      </c>
      <c r="F239" s="1">
        <v>4.5107299999999997</v>
      </c>
      <c r="G239" s="1">
        <v>1.44567</v>
      </c>
      <c r="H239" s="1">
        <v>0.20084407221120201</v>
      </c>
      <c r="I239" s="1">
        <v>0.14763999999999999</v>
      </c>
      <c r="J239" s="1">
        <v>-917004406455</v>
      </c>
      <c r="K239" s="1">
        <v>672601539691</v>
      </c>
      <c r="L239" s="1">
        <v>4555666055025</v>
      </c>
      <c r="M239" s="1">
        <v>66621007744</v>
      </c>
      <c r="N239" s="1">
        <v>715035248254</v>
      </c>
      <c r="O239" s="1">
        <v>51686817350</v>
      </c>
      <c r="P239" s="1">
        <v>3321219728026</v>
      </c>
      <c r="Q239" s="1">
        <v>2181780020148</v>
      </c>
      <c r="R239" s="1">
        <v>1509178480457</v>
      </c>
      <c r="S239" s="1">
        <v>58686720304</v>
      </c>
      <c r="T239" s="1">
        <v>-4.0000000000000003E-5</v>
      </c>
      <c r="U239">
        <f t="shared" si="21"/>
        <v>0.28353507055753946</v>
      </c>
      <c r="V239">
        <f t="shared" si="22"/>
        <v>-0.189798423209045</v>
      </c>
      <c r="W239">
        <f t="shared" si="23"/>
        <v>0.3446394164223644</v>
      </c>
      <c r="X239">
        <f t="shared" si="24"/>
        <v>1</v>
      </c>
      <c r="Y239">
        <f t="shared" si="25"/>
        <v>0</v>
      </c>
      <c r="Z239">
        <f t="shared" si="26"/>
        <v>0</v>
      </c>
      <c r="AA239">
        <f t="shared" si="27"/>
        <v>0</v>
      </c>
    </row>
    <row r="240" spans="1:27" x14ac:dyDescent="0.35">
      <c r="A240" s="1">
        <v>2.2811518025077802</v>
      </c>
      <c r="B240" s="1">
        <v>-9.5410313257444805</v>
      </c>
      <c r="C240" s="1">
        <v>3.7598799310662998E-2</v>
      </c>
      <c r="D240" s="1">
        <v>354.37108000000001</v>
      </c>
      <c r="E240" s="1">
        <v>75.690520000000006</v>
      </c>
      <c r="F240" s="1">
        <v>2.6936399999999998</v>
      </c>
      <c r="G240" s="1">
        <v>1.7704500000000001</v>
      </c>
      <c r="H240" s="1">
        <v>0.23717585357666501</v>
      </c>
      <c r="I240" s="1">
        <v>0.19633999999999999</v>
      </c>
      <c r="J240" s="1">
        <v>-670435530288</v>
      </c>
      <c r="K240" s="1">
        <v>1114622164818</v>
      </c>
      <c r="L240" s="1">
        <v>5676905833325</v>
      </c>
      <c r="M240" s="1">
        <v>148557197617</v>
      </c>
      <c r="N240" s="1">
        <v>1213459485952</v>
      </c>
      <c r="O240" s="1">
        <v>116710249037</v>
      </c>
      <c r="P240" s="1">
        <v>4296879379838</v>
      </c>
      <c r="Q240" s="1">
        <v>2561343602777</v>
      </c>
      <c r="R240" s="1">
        <v>1446721437959</v>
      </c>
      <c r="S240" s="1">
        <v>192366208431</v>
      </c>
      <c r="T240" s="1">
        <v>-4.0000000000000003E-5</v>
      </c>
      <c r="U240">
        <f t="shared" si="21"/>
        <v>0.45953664933860083</v>
      </c>
      <c r="V240">
        <f t="shared" si="22"/>
        <v>-7.1073240872417717E-2</v>
      </c>
      <c r="W240">
        <f t="shared" si="23"/>
        <v>0.49664240075682292</v>
      </c>
      <c r="X240">
        <f t="shared" si="24"/>
        <v>1</v>
      </c>
      <c r="Y240">
        <f t="shared" si="25"/>
        <v>0</v>
      </c>
      <c r="Z240">
        <f t="shared" si="26"/>
        <v>0</v>
      </c>
      <c r="AA240">
        <f t="shared" si="27"/>
        <v>0</v>
      </c>
    </row>
    <row r="241" spans="1:27" x14ac:dyDescent="0.35">
      <c r="A241" s="1">
        <v>1.94122115357678</v>
      </c>
      <c r="B241" s="1">
        <v>15.067746789858599</v>
      </c>
      <c r="C241" s="1">
        <v>3.7804363527584997E-2</v>
      </c>
      <c r="D241" s="1">
        <v>401.04396000000003</v>
      </c>
      <c r="E241" s="1">
        <v>77.943129999999996</v>
      </c>
      <c r="F241" s="1">
        <v>2.8769100000000001</v>
      </c>
      <c r="G241" s="1">
        <v>1.2303999999999999</v>
      </c>
      <c r="H241" s="1">
        <v>0.210906953021226</v>
      </c>
      <c r="I241" s="1">
        <v>7.7079999999999996E-2</v>
      </c>
      <c r="J241" s="1">
        <v>-1699774521528</v>
      </c>
      <c r="K241" s="1">
        <v>639830376119</v>
      </c>
      <c r="L241">
        <v>8300536335181</v>
      </c>
      <c r="M241">
        <v>180869691191</v>
      </c>
      <c r="N241">
        <v>1473969869395</v>
      </c>
      <c r="O241">
        <v>135666532052</v>
      </c>
      <c r="P241" s="1">
        <v>6469697572965</v>
      </c>
      <c r="Q241">
        <v>3416906663131</v>
      </c>
      <c r="R241">
        <v>2777076287012</v>
      </c>
      <c r="S241">
        <v>264204152462</v>
      </c>
      <c r="T241">
        <v>1.461E-2</v>
      </c>
      <c r="U241">
        <f t="shared" si="21"/>
        <v>0.29112849348633807</v>
      </c>
      <c r="V241">
        <f t="shared" si="22"/>
        <v>7.4130433205410323E-2</v>
      </c>
      <c r="W241">
        <f t="shared" si="23"/>
        <v>0.29279701853653178</v>
      </c>
      <c r="X241">
        <f t="shared" si="24"/>
        <v>1</v>
      </c>
      <c r="Y241">
        <f t="shared" si="25"/>
        <v>1</v>
      </c>
      <c r="Z241">
        <f t="shared" si="26"/>
        <v>0</v>
      </c>
      <c r="AA241">
        <f t="shared" si="27"/>
        <v>1</v>
      </c>
    </row>
    <row r="242" spans="1:27" x14ac:dyDescent="0.35">
      <c r="A242" s="1">
        <v>1.3965661527725199</v>
      </c>
      <c r="B242" s="1">
        <v>7.54929580129697</v>
      </c>
      <c r="C242" s="1">
        <v>3.3041492424490997E-2</v>
      </c>
      <c r="D242" s="1">
        <v>418.25191000000001</v>
      </c>
      <c r="E242" s="1">
        <v>77.727440000000001</v>
      </c>
      <c r="F242" s="1">
        <v>2.2637499999999999</v>
      </c>
      <c r="G242" s="1">
        <v>1.0365599999999999</v>
      </c>
      <c r="H242" s="1">
        <v>0.19770031045426201</v>
      </c>
      <c r="I242" s="1">
        <v>1.6049999999999998E-2</v>
      </c>
      <c r="J242" s="1">
        <v>-493846370774</v>
      </c>
      <c r="K242" s="1">
        <v>156170428914</v>
      </c>
      <c r="L242">
        <v>9727931481983</v>
      </c>
      <c r="M242">
        <v>172050462486</v>
      </c>
      <c r="N242">
        <v>1782116842234</v>
      </c>
      <c r="O242">
        <v>125889739699</v>
      </c>
      <c r="P242" s="1">
        <v>7561271790512</v>
      </c>
      <c r="Q242">
        <v>4427318879962</v>
      </c>
      <c r="R242">
        <v>4271148451048</v>
      </c>
      <c r="S242">
        <v>297843741403</v>
      </c>
      <c r="T242">
        <v>2.2790000000000001E-2</v>
      </c>
      <c r="U242">
        <f t="shared" si="21"/>
        <v>0.2103952534380526</v>
      </c>
      <c r="V242">
        <f t="shared" si="22"/>
        <v>7.6375383793223797E-2</v>
      </c>
      <c r="W242">
        <f t="shared" si="23"/>
        <v>0.18791740434622045</v>
      </c>
      <c r="X242">
        <f t="shared" si="24"/>
        <v>1</v>
      </c>
      <c r="Y242">
        <f t="shared" si="25"/>
        <v>1</v>
      </c>
      <c r="Z242">
        <f t="shared" si="26"/>
        <v>0</v>
      </c>
      <c r="AA242">
        <f t="shared" si="27"/>
        <v>1</v>
      </c>
    </row>
    <row r="243" spans="1:27" x14ac:dyDescent="0.35">
      <c r="A243" s="1">
        <v>0.78725919342916895</v>
      </c>
      <c r="B243" s="1">
        <v>4.6819734558870802</v>
      </c>
      <c r="C243" s="1">
        <v>2.3716419385476001E-2</v>
      </c>
      <c r="D243" s="1">
        <v>468.86482999999998</v>
      </c>
      <c r="E243" s="1">
        <v>79.320589999999996</v>
      </c>
      <c r="F243" s="1">
        <v>1.9667399999999999</v>
      </c>
      <c r="G243" s="1">
        <v>0.97053999999999996</v>
      </c>
      <c r="H243" s="1">
        <v>0.20562074649224399</v>
      </c>
      <c r="I243" s="1">
        <v>-1.3690000000000001E-2</v>
      </c>
      <c r="J243" s="1">
        <v>-388548116450</v>
      </c>
      <c r="K243" s="1">
        <v>-152467080152</v>
      </c>
      <c r="L243">
        <v>11134655294881</v>
      </c>
      <c r="M243">
        <v>133540047951</v>
      </c>
      <c r="N243">
        <v>2144890333409</v>
      </c>
      <c r="O243">
        <v>82121316194</v>
      </c>
      <c r="P243" s="1">
        <v>8832074096655</v>
      </c>
      <c r="Q243">
        <v>5022303199245</v>
      </c>
      <c r="R243">
        <v>5174770279397</v>
      </c>
      <c r="S243">
        <v>247392928733</v>
      </c>
      <c r="T243">
        <v>2.494E-2</v>
      </c>
      <c r="U243">
        <f t="shared" si="21"/>
        <v>0.14819104740977634</v>
      </c>
      <c r="V243">
        <f t="shared" si="22"/>
        <v>0.19196687808897389</v>
      </c>
      <c r="W243">
        <f t="shared" si="23"/>
        <v>0.11015555556421575</v>
      </c>
      <c r="X243">
        <f t="shared" si="24"/>
        <v>1</v>
      </c>
      <c r="Y243">
        <f t="shared" si="25"/>
        <v>1</v>
      </c>
      <c r="Z243">
        <f t="shared" si="26"/>
        <v>0</v>
      </c>
      <c r="AA243">
        <f t="shared" si="27"/>
        <v>1</v>
      </c>
    </row>
    <row r="244" spans="1:27" x14ac:dyDescent="0.35">
      <c r="A244" s="1">
        <v>1.1805681545789799</v>
      </c>
      <c r="B244" s="1">
        <v>7.5209452470129197</v>
      </c>
      <c r="C244" s="1">
        <v>2.2140234863290999E-2</v>
      </c>
      <c r="D244" s="1">
        <v>483.99065000000002</v>
      </c>
      <c r="E244" s="1">
        <v>79.387150000000005</v>
      </c>
      <c r="F244" s="1">
        <v>1.90126</v>
      </c>
      <c r="G244" s="1">
        <v>0.98529999999999995</v>
      </c>
      <c r="H244" s="1">
        <v>0.20857556372090399</v>
      </c>
      <c r="I244" s="1">
        <v>-6.2100000000000002E-3</v>
      </c>
      <c r="J244" s="1">
        <v>-280814229990</v>
      </c>
      <c r="K244" s="1">
        <v>-77460388168</v>
      </c>
      <c r="L244">
        <v>12469009024980</v>
      </c>
      <c r="M244">
        <v>200432293126</v>
      </c>
      <c r="N244">
        <v>2461573795697</v>
      </c>
      <c r="O244" s="1">
        <v>139328672137</v>
      </c>
      <c r="P244" s="1">
        <v>9898791359868</v>
      </c>
      <c r="Q244">
        <v>5191542610712</v>
      </c>
      <c r="R244">
        <v>5269002998880</v>
      </c>
      <c r="S244">
        <v>261295335838</v>
      </c>
      <c r="T244">
        <v>3.3309999999999999E-2</v>
      </c>
      <c r="U244">
        <f t="shared" si="21"/>
        <v>0.16200750326271765</v>
      </c>
      <c r="V244">
        <f t="shared" si="22"/>
        <v>0.17872596899311555</v>
      </c>
      <c r="W244">
        <f t="shared" si="23"/>
        <v>0.11826139935733741</v>
      </c>
      <c r="X244">
        <f t="shared" si="24"/>
        <v>1</v>
      </c>
      <c r="Y244">
        <f t="shared" si="25"/>
        <v>1</v>
      </c>
      <c r="Z244">
        <f t="shared" si="26"/>
        <v>0</v>
      </c>
      <c r="AA244">
        <f t="shared" si="27"/>
        <v>1</v>
      </c>
    </row>
    <row r="245" spans="1:27" x14ac:dyDescent="0.35">
      <c r="A245" s="1">
        <v>1.4550085110039299</v>
      </c>
      <c r="B245" s="1">
        <v>9.1411876740047493</v>
      </c>
      <c r="C245" s="1">
        <v>2.5308494455036998E-2</v>
      </c>
      <c r="D245" s="1">
        <v>432.00558999999998</v>
      </c>
      <c r="E245" s="1">
        <v>77.222819999999999</v>
      </c>
      <c r="F245" s="1">
        <v>1.82961</v>
      </c>
      <c r="G245" s="1">
        <v>0.81971000000000005</v>
      </c>
      <c r="H245" s="1">
        <v>0.20475588541404199</v>
      </c>
      <c r="I245" s="1">
        <v>-8.3849999999999994E-2</v>
      </c>
      <c r="J245" s="1">
        <v>-618632856332</v>
      </c>
      <c r="K245" s="1">
        <v>-1175650006209</v>
      </c>
      <c r="L245" s="1">
        <v>14020476525456</v>
      </c>
      <c r="M245" s="1">
        <v>249532631204</v>
      </c>
      <c r="N245" s="1">
        <v>2711939034021</v>
      </c>
      <c r="O245" s="1">
        <v>192712134640</v>
      </c>
      <c r="P245" s="1">
        <v>10827007096555</v>
      </c>
      <c r="Q245" s="1">
        <v>5345075283124</v>
      </c>
      <c r="R245" s="1">
        <v>6520725289333</v>
      </c>
      <c r="S245" s="1">
        <v>335204499085</v>
      </c>
      <c r="T245" s="1">
        <v>4.2970000000000001E-2</v>
      </c>
      <c r="U245">
        <f t="shared" si="21"/>
        <v>8.9657714914520695E-2</v>
      </c>
      <c r="V245">
        <f t="shared" si="22"/>
        <v>4.3126739561452028E-2</v>
      </c>
      <c r="W245">
        <f t="shared" si="23"/>
        <v>2.4707867378345521E-4</v>
      </c>
      <c r="X245">
        <f t="shared" si="24"/>
        <v>1</v>
      </c>
      <c r="Y245">
        <f t="shared" si="25"/>
        <v>1</v>
      </c>
      <c r="Z245">
        <f t="shared" si="26"/>
        <v>1</v>
      </c>
      <c r="AA245">
        <f t="shared" si="27"/>
        <v>1</v>
      </c>
    </row>
    <row r="246" spans="1:27" x14ac:dyDescent="0.35">
      <c r="A246" s="1">
        <v>0.95577543594710401</v>
      </c>
      <c r="B246" s="1">
        <v>6.4675646623946399</v>
      </c>
      <c r="C246" s="1">
        <v>2.5908222336642001E-2</v>
      </c>
      <c r="D246" s="1">
        <v>564.59070999999994</v>
      </c>
      <c r="E246" s="1">
        <v>78.384519999999995</v>
      </c>
      <c r="F246" s="1">
        <v>1.7265299999999999</v>
      </c>
      <c r="G246" s="1">
        <v>0.68039000000000005</v>
      </c>
      <c r="H246" s="1">
        <v>0.19890689462097799</v>
      </c>
      <c r="I246" s="1">
        <v>-0.16331000000000001</v>
      </c>
      <c r="J246" s="1">
        <v>-2151241507830</v>
      </c>
      <c r="K246" s="1">
        <v>-3266363195722</v>
      </c>
      <c r="L246" s="1">
        <v>20000987050429</v>
      </c>
      <c r="M246" s="1">
        <v>223171927927</v>
      </c>
      <c r="N246" s="1">
        <v>3383551835170</v>
      </c>
      <c r="O246" s="1">
        <v>162584395904</v>
      </c>
      <c r="P246" s="1">
        <v>15677678306261</v>
      </c>
      <c r="Q246" s="1">
        <v>6953329452239</v>
      </c>
      <c r="R246" s="1">
        <v>10219692647961</v>
      </c>
      <c r="S246" s="1">
        <v>440717821271</v>
      </c>
      <c r="T246" s="1">
        <v>3.7749999999999999E-2</v>
      </c>
      <c r="U246">
        <f t="shared" si="21"/>
        <v>-1.8482148279108684E-2</v>
      </c>
      <c r="V246">
        <f t="shared" si="22"/>
        <v>0.13405967201055288</v>
      </c>
      <c r="W246">
        <f t="shared" si="23"/>
        <v>-0.1373251325147469</v>
      </c>
      <c r="X246">
        <f t="shared" si="24"/>
        <v>1</v>
      </c>
      <c r="Y246">
        <f t="shared" si="25"/>
        <v>1</v>
      </c>
      <c r="Z246">
        <f t="shared" si="26"/>
        <v>1</v>
      </c>
      <c r="AA246">
        <f t="shared" si="27"/>
        <v>1</v>
      </c>
    </row>
    <row r="247" spans="1:27" x14ac:dyDescent="0.35">
      <c r="A247" s="1">
        <v>0.196704627955471</v>
      </c>
      <c r="B247" s="1">
        <v>2.77210088948739</v>
      </c>
      <c r="C247" s="1">
        <v>2.4030152432474E-2</v>
      </c>
      <c r="D247" s="1">
        <v>606.60212999999999</v>
      </c>
      <c r="E247" s="1">
        <v>81.939459999999997</v>
      </c>
      <c r="F247" s="1">
        <v>2.0807600000000002</v>
      </c>
      <c r="G247" s="1">
        <v>0.84362999999999999</v>
      </c>
      <c r="H247" s="1">
        <v>0.17906571511772601</v>
      </c>
      <c r="I247" s="1">
        <v>-5.7889999999999997E-2</v>
      </c>
      <c r="J247" s="1">
        <v>-819053035332</v>
      </c>
      <c r="K247" s="1">
        <v>-1406546029244</v>
      </c>
      <c r="L247">
        <v>24296140332728</v>
      </c>
      <c r="M247">
        <v>78891030533</v>
      </c>
      <c r="N247">
        <v>3966048396263</v>
      </c>
      <c r="O247" s="1">
        <v>43567249807</v>
      </c>
      <c r="P247" s="1">
        <v>19908125824310</v>
      </c>
      <c r="Q247">
        <v>7588263288283</v>
      </c>
      <c r="R247">
        <v>8994809317527</v>
      </c>
      <c r="S247">
        <v>532233361669</v>
      </c>
      <c r="T247">
        <v>3.3989999999999999E-2</v>
      </c>
      <c r="U247">
        <f t="shared" si="21"/>
        <v>7.8706985718659916E-2</v>
      </c>
      <c r="V247">
        <f t="shared" si="22"/>
        <v>0.36585435111116493</v>
      </c>
      <c r="W247">
        <f t="shared" si="23"/>
        <v>3.6075626738556542E-2</v>
      </c>
      <c r="X247">
        <f t="shared" si="24"/>
        <v>1</v>
      </c>
      <c r="Y247">
        <f t="shared" si="25"/>
        <v>1</v>
      </c>
      <c r="Z247">
        <f t="shared" si="26"/>
        <v>0</v>
      </c>
      <c r="AA247">
        <f t="shared" si="27"/>
        <v>1</v>
      </c>
    </row>
    <row r="248" spans="1:27" x14ac:dyDescent="0.35">
      <c r="A248" s="1">
        <v>-0.46586371708200802</v>
      </c>
      <c r="B248" s="1">
        <v>-1.9276031702624199</v>
      </c>
      <c r="C248" s="1">
        <v>1.8797982550105001E-2</v>
      </c>
      <c r="D248" s="1">
        <v>515.36157000000003</v>
      </c>
      <c r="E248" s="1">
        <v>78.577079999999995</v>
      </c>
      <c r="F248" s="1">
        <v>1.56115</v>
      </c>
      <c r="G248" s="1">
        <v>0.85958000000000001</v>
      </c>
      <c r="H248" s="1">
        <v>0.172845005395249</v>
      </c>
      <c r="I248" s="1">
        <v>-5.7140000000000003E-2</v>
      </c>
      <c r="J248" s="1">
        <v>3154572934875</v>
      </c>
      <c r="K248" s="1">
        <v>-1350781201648</v>
      </c>
      <c r="L248">
        <v>23639879332158</v>
      </c>
      <c r="M248">
        <v>-101146456314</v>
      </c>
      <c r="N248">
        <v>4142750788802</v>
      </c>
      <c r="O248" s="1">
        <v>-111658261516</v>
      </c>
      <c r="P248" s="1">
        <v>18575526930770</v>
      </c>
      <c r="Q248">
        <v>8268647779762</v>
      </c>
      <c r="R248">
        <v>9619428981410</v>
      </c>
      <c r="S248">
        <v>450550230591</v>
      </c>
      <c r="T248">
        <v>2.7740000000000001E-2</v>
      </c>
      <c r="U248">
        <f t="shared" si="21"/>
        <v>6.2814596037868223E-2</v>
      </c>
      <c r="V248">
        <f t="shared" si="22"/>
        <v>0.20358673366895544</v>
      </c>
      <c r="W248">
        <f t="shared" si="23"/>
        <v>2.7520047070474007E-2</v>
      </c>
      <c r="X248">
        <f t="shared" si="24"/>
        <v>1</v>
      </c>
      <c r="Y248">
        <f t="shared" si="25"/>
        <v>1</v>
      </c>
      <c r="Z248">
        <f t="shared" si="26"/>
        <v>0</v>
      </c>
      <c r="AA248">
        <f t="shared" si="27"/>
        <v>1</v>
      </c>
    </row>
    <row r="249" spans="1:27" x14ac:dyDescent="0.35">
      <c r="A249" s="1">
        <v>-0.33319737656589299</v>
      </c>
      <c r="B249" s="1">
        <v>-0.176968236042719</v>
      </c>
      <c r="C249" s="1">
        <v>2.4653534604780002E-2</v>
      </c>
      <c r="D249" s="1">
        <v>511.57862</v>
      </c>
      <c r="E249" s="1">
        <v>78.864789999999999</v>
      </c>
      <c r="F249" s="1">
        <v>1.9123000000000001</v>
      </c>
      <c r="G249" s="1">
        <v>0.82703000000000004</v>
      </c>
      <c r="H249" s="1">
        <v>0.16707259507432901</v>
      </c>
      <c r="I249" s="1">
        <v>-7.2959999999999997E-2</v>
      </c>
      <c r="J249" s="1">
        <v>317899358435</v>
      </c>
      <c r="K249" s="1">
        <v>-1803318607046</v>
      </c>
      <c r="L249">
        <v>24715394326528</v>
      </c>
      <c r="M249">
        <v>-68103743334</v>
      </c>
      <c r="N249">
        <v>4039420527843</v>
      </c>
      <c r="O249" s="1">
        <v>-80559251631</v>
      </c>
      <c r="P249" s="1">
        <v>19491744501102</v>
      </c>
      <c r="Q249">
        <v>8622455431795</v>
      </c>
      <c r="R249">
        <v>10425774038841</v>
      </c>
      <c r="S249">
        <v>596064206234</v>
      </c>
      <c r="T249">
        <v>2.6200000000000001E-2</v>
      </c>
      <c r="U249">
        <f t="shared" si="21"/>
        <v>5.9950978752196959E-2</v>
      </c>
      <c r="V249">
        <f t="shared" si="22"/>
        <v>0.21326895967056256</v>
      </c>
      <c r="W249">
        <f t="shared" si="23"/>
        <v>1.8652964985705709E-2</v>
      </c>
      <c r="X249">
        <f t="shared" si="24"/>
        <v>1</v>
      </c>
      <c r="Y249">
        <f t="shared" si="25"/>
        <v>1</v>
      </c>
      <c r="Z249">
        <f t="shared" si="26"/>
        <v>0</v>
      </c>
      <c r="AA249">
        <f t="shared" si="27"/>
        <v>1</v>
      </c>
    </row>
    <row r="250" spans="1:27" x14ac:dyDescent="0.35">
      <c r="A250" s="1">
        <v>0.35388164723305798</v>
      </c>
      <c r="B250" s="1">
        <v>3.8827608642786702</v>
      </c>
      <c r="C250" s="1">
        <v>3.1318510542864997E-2</v>
      </c>
      <c r="D250" s="1">
        <v>478.39443</v>
      </c>
      <c r="E250" s="1">
        <v>78.573939999999993</v>
      </c>
      <c r="F250" s="1">
        <v>1.91456</v>
      </c>
      <c r="G250" s="1">
        <v>0.71443000000000001</v>
      </c>
      <c r="H250" s="1">
        <v>0.18686987147636699</v>
      </c>
      <c r="I250" s="1">
        <v>-0.13877</v>
      </c>
      <c r="J250" s="1">
        <v>300782833833</v>
      </c>
      <c r="K250" s="1">
        <v>-3736873741610</v>
      </c>
      <c r="L250">
        <v>26929459012147</v>
      </c>
      <c r="M250">
        <v>174217043762</v>
      </c>
      <c r="N250">
        <v>4825433552907</v>
      </c>
      <c r="O250" s="1">
        <v>91380828853</v>
      </c>
      <c r="P250" s="1">
        <v>21159536143929</v>
      </c>
      <c r="Q250">
        <v>9348909743155</v>
      </c>
      <c r="R250">
        <v>13085783484765</v>
      </c>
      <c r="S250">
        <v>808719941886</v>
      </c>
      <c r="T250">
        <v>2.9350000000000001E-2</v>
      </c>
      <c r="U250">
        <f t="shared" si="21"/>
        <v>2.9729141422030425E-2</v>
      </c>
      <c r="V250">
        <f t="shared" si="22"/>
        <v>0.16630210303321744</v>
      </c>
      <c r="W250">
        <f t="shared" si="23"/>
        <v>-6.9682711920655088E-2</v>
      </c>
      <c r="X250">
        <f t="shared" si="24"/>
        <v>1</v>
      </c>
      <c r="Y250">
        <f t="shared" si="25"/>
        <v>1</v>
      </c>
      <c r="Z250">
        <f t="shared" si="26"/>
        <v>1</v>
      </c>
      <c r="AA250">
        <f t="shared" si="27"/>
        <v>1</v>
      </c>
    </row>
    <row r="251" spans="1:27" x14ac:dyDescent="0.35">
      <c r="A251" s="1">
        <v>0.96907516317464704</v>
      </c>
      <c r="B251" s="1">
        <v>8.0952794375753196</v>
      </c>
      <c r="C251" s="1">
        <v>3.1959046504734002E-2</v>
      </c>
      <c r="D251" s="1">
        <v>487.20616000000001</v>
      </c>
      <c r="E251" s="1">
        <v>80.395470000000003</v>
      </c>
      <c r="F251" s="1">
        <v>1.34436</v>
      </c>
      <c r="G251" s="1">
        <v>0.91402000000000005</v>
      </c>
      <c r="H251" s="1">
        <v>0.18527227657616199</v>
      </c>
      <c r="I251" s="1">
        <v>-3.202E-2</v>
      </c>
      <c r="J251" s="1">
        <v>-309502000000</v>
      </c>
      <c r="K251" s="1">
        <v>-919308000000</v>
      </c>
      <c r="L251">
        <v>28711560000000</v>
      </c>
      <c r="M251">
        <v>336003654935</v>
      </c>
      <c r="N251">
        <v>5154369131699</v>
      </c>
      <c r="O251" s="1">
        <v>269601647891.99997</v>
      </c>
      <c r="P251" s="1">
        <v>23082795000000</v>
      </c>
      <c r="Q251">
        <v>9772468000000</v>
      </c>
      <c r="R251">
        <v>10691776000000</v>
      </c>
      <c r="S251">
        <v>889116957090</v>
      </c>
      <c r="T251">
        <v>3.9E-2</v>
      </c>
      <c r="U251">
        <f t="shared" si="21"/>
        <v>0.15464041128811953</v>
      </c>
      <c r="V251">
        <f t="shared" si="22"/>
        <v>0.24394312019956019</v>
      </c>
      <c r="W251">
        <f t="shared" si="23"/>
        <v>0.10973170626397981</v>
      </c>
      <c r="X251">
        <f t="shared" si="24"/>
        <v>1</v>
      </c>
      <c r="Y251">
        <f t="shared" si="25"/>
        <v>1</v>
      </c>
      <c r="Z251">
        <f t="shared" si="26"/>
        <v>0</v>
      </c>
      <c r="AA251">
        <f t="shared" si="27"/>
        <v>1</v>
      </c>
    </row>
    <row r="252" spans="1:27" x14ac:dyDescent="0.35">
      <c r="A252" s="1">
        <v>0.44836926459505599</v>
      </c>
      <c r="B252" s="1">
        <v>5.15523036102317</v>
      </c>
      <c r="C252" s="1">
        <v>3.5198540894421003E-2</v>
      </c>
      <c r="D252" s="1">
        <v>504.90105</v>
      </c>
      <c r="E252" s="1">
        <v>80.633650000000003</v>
      </c>
      <c r="F252" s="1">
        <v>1.31759</v>
      </c>
      <c r="G252" s="1">
        <v>0.89232</v>
      </c>
      <c r="H252" s="1">
        <v>0.185988440695499</v>
      </c>
      <c r="I252" s="1">
        <v>-4.1860000000000001E-2</v>
      </c>
      <c r="J252" s="1">
        <v>1377231000000</v>
      </c>
      <c r="K252" s="1">
        <v>-1231040000000</v>
      </c>
      <c r="L252">
        <v>29410622000000</v>
      </c>
      <c r="M252">
        <v>229093000000</v>
      </c>
      <c r="N252">
        <v>5405027000000</v>
      </c>
      <c r="O252" s="1">
        <v>130301000000</v>
      </c>
      <c r="P252" s="1">
        <v>23714859000000</v>
      </c>
      <c r="Q252">
        <v>10201277000000</v>
      </c>
      <c r="R252">
        <v>11432317000000</v>
      </c>
      <c r="S252">
        <v>1022908000000</v>
      </c>
      <c r="T252">
        <v>4.5620000000000001E-2</v>
      </c>
      <c r="U252">
        <f t="shared" si="21"/>
        <v>0.15039959908088657</v>
      </c>
      <c r="V252">
        <f t="shared" si="22"/>
        <v>0.2797506921643611</v>
      </c>
      <c r="W252">
        <f t="shared" si="23"/>
        <v>0.10639873927181819</v>
      </c>
      <c r="X252">
        <f t="shared" si="24"/>
        <v>1</v>
      </c>
      <c r="Y252">
        <f t="shared" si="25"/>
        <v>1</v>
      </c>
      <c r="Z252">
        <f t="shared" si="26"/>
        <v>0</v>
      </c>
      <c r="AA252">
        <f t="shared" si="27"/>
        <v>1</v>
      </c>
    </row>
    <row r="253" spans="1:27" x14ac:dyDescent="0.35">
      <c r="A253" s="1" t="s">
        <v>3</v>
      </c>
      <c r="B253" s="1" t="s">
        <v>3</v>
      </c>
      <c r="C253" s="1" t="s">
        <v>3</v>
      </c>
      <c r="D253" s="1" t="s">
        <v>3</v>
      </c>
      <c r="E253" s="1" t="s">
        <v>3</v>
      </c>
      <c r="F253" s="1" t="s">
        <v>3</v>
      </c>
      <c r="G253" s="1" t="s">
        <v>3</v>
      </c>
      <c r="H253" s="1" t="s">
        <v>3</v>
      </c>
      <c r="I253" s="1" t="s">
        <v>3</v>
      </c>
      <c r="J253" s="1" t="s">
        <v>3</v>
      </c>
      <c r="K253" s="1" t="s">
        <v>3</v>
      </c>
      <c r="L253" s="1" t="s">
        <v>3</v>
      </c>
      <c r="M253" s="1" t="s">
        <v>3</v>
      </c>
      <c r="N253" s="1" t="s">
        <v>3</v>
      </c>
      <c r="O253" s="1" t="s">
        <v>3</v>
      </c>
      <c r="P253" s="1" t="s">
        <v>3</v>
      </c>
      <c r="Q253" s="1" t="s">
        <v>3</v>
      </c>
      <c r="R253" s="1" t="s">
        <v>3</v>
      </c>
      <c r="S253" s="1" t="s">
        <v>3</v>
      </c>
      <c r="T253" s="1" t="s">
        <v>3</v>
      </c>
      <c r="U253" t="e">
        <f t="shared" si="21"/>
        <v>#VALUE!</v>
      </c>
      <c r="V253" t="e">
        <f t="shared" si="22"/>
        <v>#VALUE!</v>
      </c>
      <c r="W253" t="e">
        <f t="shared" si="23"/>
        <v>#VALUE!</v>
      </c>
      <c r="X253" t="e">
        <f t="shared" si="24"/>
        <v>#VALUE!</v>
      </c>
      <c r="Y253" t="e">
        <f t="shared" si="25"/>
        <v>#VALUE!</v>
      </c>
      <c r="Z253" t="e">
        <f t="shared" si="26"/>
        <v>#VALUE!</v>
      </c>
      <c r="AA253" t="e">
        <f t="shared" si="27"/>
        <v>#VALUE!</v>
      </c>
    </row>
    <row r="254" spans="1:27" x14ac:dyDescent="0.35">
      <c r="A254" s="1">
        <v>6.1952350547846402</v>
      </c>
      <c r="B254" s="1">
        <v>17.350491618047101</v>
      </c>
      <c r="C254" s="1">
        <v>9.0937290673809998E-2</v>
      </c>
      <c r="D254" s="1">
        <v>33.708889999999997</v>
      </c>
      <c r="E254" s="1">
        <v>16.138100000000001</v>
      </c>
      <c r="F254" s="1">
        <v>10.23724</v>
      </c>
      <c r="G254" s="1">
        <v>1.7587900000000001</v>
      </c>
      <c r="H254" s="1">
        <v>0.34015616086764899</v>
      </c>
      <c r="I254" s="1">
        <v>0.26296000000000003</v>
      </c>
      <c r="J254" s="2">
        <v>-1300268898000</v>
      </c>
      <c r="K254" s="2">
        <v>1638797646000</v>
      </c>
      <c r="L254" s="3">
        <v>6232234491000</v>
      </c>
      <c r="M254" s="3">
        <v>535039906000</v>
      </c>
      <c r="N254" s="3">
        <v>2004950543000</v>
      </c>
      <c r="O254" s="2">
        <v>365159927000</v>
      </c>
      <c r="P254" s="2">
        <v>1005764287000</v>
      </c>
      <c r="Q254" s="3">
        <v>3798559261000</v>
      </c>
      <c r="R254" s="3">
        <v>2159761615000</v>
      </c>
      <c r="S254">
        <v>536003140000</v>
      </c>
      <c r="T254">
        <v>6.9370000000000001E-2</v>
      </c>
      <c r="U254">
        <f t="shared" si="21"/>
        <v>0.8270640511005245</v>
      </c>
      <c r="V254">
        <f t="shared" si="22"/>
        <v>-3.6367577156582294</v>
      </c>
      <c r="W254">
        <f t="shared" si="23"/>
        <v>0.78457425444119078</v>
      </c>
      <c r="X254">
        <f t="shared" si="24"/>
        <v>1</v>
      </c>
      <c r="Y254">
        <f t="shared" si="25"/>
        <v>0</v>
      </c>
      <c r="Z254">
        <f t="shared" si="26"/>
        <v>0</v>
      </c>
      <c r="AA254">
        <f t="shared" si="27"/>
        <v>0</v>
      </c>
    </row>
    <row r="255" spans="1:27" x14ac:dyDescent="0.35">
      <c r="A255" s="1">
        <v>4.6585078447082404</v>
      </c>
      <c r="B255" s="1">
        <v>11.4882160732218</v>
      </c>
      <c r="C255" s="1">
        <v>6.0765056835592003E-2</v>
      </c>
      <c r="D255" s="1">
        <v>74.680400000000006</v>
      </c>
      <c r="E255" s="1">
        <v>28.84477</v>
      </c>
      <c r="F255" s="1">
        <v>20.78342</v>
      </c>
      <c r="G255" s="1">
        <v>2.2090299999999998</v>
      </c>
      <c r="H255" s="1">
        <v>0.25891003210375602</v>
      </c>
      <c r="I255" s="1">
        <v>0.38125999999999999</v>
      </c>
      <c r="J255" s="2">
        <v>-1159596009000</v>
      </c>
      <c r="K255" s="2">
        <v>3235287038279</v>
      </c>
      <c r="L255" s="3">
        <v>8485853808000</v>
      </c>
      <c r="M255" s="3">
        <v>463991760000</v>
      </c>
      <c r="N255" s="3">
        <v>1905330357000</v>
      </c>
      <c r="O255" s="2">
        <v>342821649000</v>
      </c>
      <c r="P255" s="2">
        <v>2447724848000</v>
      </c>
      <c r="Q255" s="3">
        <v>5911226085279</v>
      </c>
      <c r="R255" s="3">
        <v>2675939047000</v>
      </c>
      <c r="S255">
        <v>447172736000</v>
      </c>
      <c r="T255">
        <v>8.2309999999999994E-2</v>
      </c>
      <c r="U255">
        <f t="shared" si="21"/>
        <v>0.75872383086106288</v>
      </c>
      <c r="V255">
        <f t="shared" si="22"/>
        <v>-2.8288084766580823</v>
      </c>
      <c r="W255">
        <f t="shared" si="23"/>
        <v>0.86609769461448527</v>
      </c>
      <c r="X255">
        <f t="shared" si="24"/>
        <v>1</v>
      </c>
      <c r="Y255">
        <f t="shared" si="25"/>
        <v>0</v>
      </c>
      <c r="Z255">
        <f t="shared" si="26"/>
        <v>0</v>
      </c>
      <c r="AA255">
        <f t="shared" si="27"/>
        <v>0</v>
      </c>
    </row>
    <row r="256" spans="1:27" x14ac:dyDescent="0.35">
      <c r="A256" s="1">
        <v>3.8747220586195499</v>
      </c>
      <c r="B256" s="1">
        <v>9.8493430404713198</v>
      </c>
      <c r="C256" s="1">
        <v>4.8490037477115999E-2</v>
      </c>
      <c r="D256" s="1">
        <v>63.177630000000001</v>
      </c>
      <c r="E256" s="1">
        <v>27.196760000000001</v>
      </c>
      <c r="F256" s="1">
        <v>46.874580000000002</v>
      </c>
      <c r="G256" s="1">
        <v>2.43662</v>
      </c>
      <c r="H256" s="1">
        <v>0.21991999420097899</v>
      </c>
      <c r="I256" s="1">
        <v>0.41427000000000003</v>
      </c>
      <c r="J256" s="2">
        <v>-111887624000</v>
      </c>
      <c r="K256" s="2">
        <v>4363712400625</v>
      </c>
      <c r="L256" s="3">
        <v>10533371748079</v>
      </c>
      <c r="M256" s="3">
        <v>484273663000</v>
      </c>
      <c r="N256" s="3">
        <v>2091353987000</v>
      </c>
      <c r="O256" s="2">
        <v>368471064000</v>
      </c>
      <c r="P256" s="2">
        <v>2864735395728</v>
      </c>
      <c r="Q256" s="3">
        <v>7401205558756</v>
      </c>
      <c r="R256" s="3">
        <v>3037493158131</v>
      </c>
      <c r="S256">
        <v>461121480000</v>
      </c>
      <c r="T256">
        <v>9.6790000000000001E-2</v>
      </c>
      <c r="U256">
        <f t="shared" si="21"/>
        <v>0.74574257211002415</v>
      </c>
      <c r="V256">
        <f t="shared" si="22"/>
        <v>-2.8974543132823283</v>
      </c>
      <c r="W256">
        <f t="shared" si="23"/>
        <v>0.89013099792340411</v>
      </c>
      <c r="X256">
        <f t="shared" si="24"/>
        <v>1</v>
      </c>
      <c r="Y256">
        <f t="shared" si="25"/>
        <v>0</v>
      </c>
      <c r="Z256">
        <f t="shared" si="26"/>
        <v>0</v>
      </c>
      <c r="AA256">
        <f t="shared" si="27"/>
        <v>0</v>
      </c>
    </row>
    <row r="257" spans="1:27" x14ac:dyDescent="0.35">
      <c r="A257" s="1">
        <v>3.5558921140260802</v>
      </c>
      <c r="B257" s="1">
        <v>8.5193826581319794</v>
      </c>
      <c r="C257" s="1">
        <v>4.1705110702452003E-2</v>
      </c>
      <c r="D257" s="1">
        <v>65.817989999999995</v>
      </c>
      <c r="E257" s="1">
        <v>27.136009999999999</v>
      </c>
      <c r="F257" s="1">
        <v>6.7460300000000002</v>
      </c>
      <c r="G257" s="1">
        <v>2.4285100000000002</v>
      </c>
      <c r="H257" s="1">
        <v>0.228779147777353</v>
      </c>
      <c r="I257" s="1">
        <v>0.43962000000000001</v>
      </c>
      <c r="J257" s="2">
        <v>-204682966250</v>
      </c>
      <c r="K257" s="2">
        <v>5182112525583</v>
      </c>
      <c r="L257" s="3">
        <v>11787777210609</v>
      </c>
      <c r="M257" s="3">
        <v>471685528610</v>
      </c>
      <c r="N257" s="3">
        <v>2553306718090</v>
      </c>
      <c r="O257" s="2">
        <v>396857987791</v>
      </c>
      <c r="P257" s="2">
        <v>3198732264002</v>
      </c>
      <c r="Q257" s="3">
        <v>8809744519429</v>
      </c>
      <c r="R257" s="3">
        <v>3627631993846</v>
      </c>
      <c r="S257">
        <v>465452994164</v>
      </c>
      <c r="T257">
        <v>0.11796</v>
      </c>
      <c r="U257">
        <f t="shared" si="21"/>
        <v>0.74648770935166731</v>
      </c>
      <c r="V257">
        <f t="shared" si="22"/>
        <v>-2.8950345298796916</v>
      </c>
      <c r="W257">
        <f t="shared" si="23"/>
        <v>0.91731804011563334</v>
      </c>
      <c r="X257">
        <f t="shared" si="24"/>
        <v>1</v>
      </c>
      <c r="Y257">
        <f t="shared" si="25"/>
        <v>0</v>
      </c>
      <c r="Z257">
        <f t="shared" si="26"/>
        <v>0</v>
      </c>
      <c r="AA257">
        <f t="shared" si="27"/>
        <v>0</v>
      </c>
    </row>
    <row r="258" spans="1:27" x14ac:dyDescent="0.35">
      <c r="A258" s="1">
        <v>3.6502421453261502</v>
      </c>
      <c r="B258" s="1">
        <v>8.2672436693238502</v>
      </c>
      <c r="C258" s="1">
        <v>4.0200569038336999E-2</v>
      </c>
      <c r="D258" s="1">
        <v>54.525280000000002</v>
      </c>
      <c r="E258" s="1">
        <v>23.778770000000002</v>
      </c>
      <c r="F258" s="1">
        <v>46.94567</v>
      </c>
      <c r="G258" s="1">
        <v>2.2340300000000002</v>
      </c>
      <c r="H258" s="1">
        <v>0.21451439108495901</v>
      </c>
      <c r="I258" s="1">
        <v>0.39100000000000001</v>
      </c>
      <c r="J258" s="2">
        <v>152004568541</v>
      </c>
      <c r="K258" s="2">
        <v>4741946134580</v>
      </c>
      <c r="L258" s="3">
        <v>12127644010796</v>
      </c>
      <c r="M258" s="3">
        <v>526658019870</v>
      </c>
      <c r="N258" s="3">
        <v>2565101010425</v>
      </c>
      <c r="O258" s="2">
        <v>436485392328</v>
      </c>
      <c r="P258" s="2">
        <v>2883805006441</v>
      </c>
      <c r="Q258" s="3">
        <v>8584605180269</v>
      </c>
      <c r="R258" s="3">
        <v>3842659045689</v>
      </c>
      <c r="S258">
        <v>480706770946</v>
      </c>
      <c r="T258">
        <v>0.14665</v>
      </c>
      <c r="U258">
        <f t="shared" ref="U258:U321" si="28">1.03*(K258/L258) + 3.07*(S258/L258) + 0.66*(M258/R258) +0.4*(N258/L258)</f>
        <v>0.69947975662821238</v>
      </c>
      <c r="V258">
        <f t="shared" ref="V258:V321" si="29">-4.3-4.5*(O258/L258)+5.7*(P258/L258)+0.004*(Q258/R258)</f>
        <v>-3.0976330597214741</v>
      </c>
      <c r="W258">
        <f t="shared" ref="W258:W321" si="30">0.057+1.65*(K258/L258)+3.404*(S258/L258)+0.016*(O258/L258)</f>
        <v>0.83765622046676735</v>
      </c>
      <c r="X258">
        <f t="shared" si="24"/>
        <v>1</v>
      </c>
      <c r="Y258">
        <f t="shared" si="25"/>
        <v>0</v>
      </c>
      <c r="Z258">
        <f t="shared" si="26"/>
        <v>0</v>
      </c>
      <c r="AA258">
        <f t="shared" si="27"/>
        <v>0</v>
      </c>
    </row>
    <row r="259" spans="1:27" x14ac:dyDescent="0.35">
      <c r="A259" s="1">
        <v>4.2040823861988201</v>
      </c>
      <c r="B259" s="1">
        <v>8.340708691144</v>
      </c>
      <c r="C259" s="1">
        <v>5.1010047302496003E-2</v>
      </c>
      <c r="D259" s="1">
        <v>41.2727</v>
      </c>
      <c r="E259" s="1">
        <v>20.896229999999999</v>
      </c>
      <c r="F259" s="1">
        <v>11.21088</v>
      </c>
      <c r="G259" s="1">
        <v>2.7874699999999999</v>
      </c>
      <c r="H259" s="1">
        <v>0.22100268056015601</v>
      </c>
      <c r="I259" s="1">
        <v>0.49601000000000001</v>
      </c>
      <c r="J259" s="2">
        <v>-652680870781</v>
      </c>
      <c r="K259" s="2">
        <v>8013233272573</v>
      </c>
      <c r="L259" s="3">
        <v>16155384919926</v>
      </c>
      <c r="M259" s="3">
        <v>719253651770</v>
      </c>
      <c r="N259" s="3">
        <v>3125312604025</v>
      </c>
      <c r="O259" s="2">
        <v>594520918780</v>
      </c>
      <c r="P259" s="2">
        <v>3375866602385</v>
      </c>
      <c r="Q259" s="3">
        <v>12496244820337</v>
      </c>
      <c r="R259" s="3">
        <v>4483011547764</v>
      </c>
      <c r="S259">
        <v>721359321807</v>
      </c>
      <c r="T259">
        <v>0.13952000000000001</v>
      </c>
      <c r="U259">
        <f t="shared" si="28"/>
        <v>0.83124153051459881</v>
      </c>
      <c r="V259">
        <f t="shared" si="29"/>
        <v>-3.2633657159131442</v>
      </c>
      <c r="W259">
        <f t="shared" si="30"/>
        <v>1.0279984902017929</v>
      </c>
      <c r="X259">
        <f t="shared" ref="X259:X322" si="31">IF(U259&gt;=0.862,0,1)</f>
        <v>1</v>
      </c>
      <c r="Y259">
        <f t="shared" ref="Y259:Y322" si="32">IF(V259&lt;=0,0,1)</f>
        <v>0</v>
      </c>
      <c r="Z259">
        <f t="shared" ref="Z259:Z322" si="33">IF(W259&gt;=0.01,0,1)</f>
        <v>0</v>
      </c>
      <c r="AA259">
        <f t="shared" ref="AA259:AA322" si="34">IF(SUM(X259:Z259)&gt;=2,1,0)</f>
        <v>0</v>
      </c>
    </row>
    <row r="260" spans="1:27" x14ac:dyDescent="0.35">
      <c r="A260" s="1">
        <v>4.7311047163060502</v>
      </c>
      <c r="B260" s="1">
        <v>8.5626114164511797</v>
      </c>
      <c r="C260" s="1">
        <v>5.3930442866314002E-2</v>
      </c>
      <c r="D260" s="1">
        <v>39.935580000000002</v>
      </c>
      <c r="E260" s="1">
        <v>20.578949999999999</v>
      </c>
      <c r="F260" s="1">
        <v>8.8087800000000005</v>
      </c>
      <c r="G260" s="1">
        <v>6.0372000000000003</v>
      </c>
      <c r="H260" s="1">
        <v>0.243477225979362</v>
      </c>
      <c r="I260" s="1">
        <v>0.62183999999999995</v>
      </c>
      <c r="J260" s="2">
        <v>409897467694</v>
      </c>
      <c r="K260" s="2">
        <v>11354312870363</v>
      </c>
      <c r="L260" s="3">
        <v>18259171414884</v>
      </c>
      <c r="M260" s="3">
        <v>984810305058</v>
      </c>
      <c r="N260" s="3">
        <v>4189580354855</v>
      </c>
      <c r="O260" s="2">
        <v>814094348926</v>
      </c>
      <c r="P260" s="2">
        <v>3757545741661</v>
      </c>
      <c r="Q260" s="3">
        <v>13608404625136</v>
      </c>
      <c r="R260" s="3">
        <v>2254091754773</v>
      </c>
      <c r="S260">
        <v>927996132092</v>
      </c>
      <c r="T260">
        <v>0.15923999999999999</v>
      </c>
      <c r="U260">
        <f t="shared" si="28"/>
        <v>1.1766588095275274</v>
      </c>
      <c r="V260">
        <f t="shared" si="29"/>
        <v>-3.3034858163305203</v>
      </c>
      <c r="W260">
        <f t="shared" si="30"/>
        <v>1.2567554588630332</v>
      </c>
      <c r="X260">
        <f t="shared" si="31"/>
        <v>0</v>
      </c>
      <c r="Y260">
        <f t="shared" si="32"/>
        <v>0</v>
      </c>
      <c r="Z260">
        <f t="shared" si="33"/>
        <v>0</v>
      </c>
      <c r="AA260">
        <f t="shared" si="34"/>
        <v>0</v>
      </c>
    </row>
    <row r="261" spans="1:27" x14ac:dyDescent="0.35">
      <c r="A261" s="1">
        <v>6.1344495012967304</v>
      </c>
      <c r="B261" s="1">
        <v>10.879754294999399</v>
      </c>
      <c r="C261" s="1">
        <v>6.8493408356586002E-2</v>
      </c>
      <c r="D261" s="1">
        <v>52.46284</v>
      </c>
      <c r="E261" s="1">
        <v>24.196680000000001</v>
      </c>
      <c r="F261" s="1">
        <v>18.49633</v>
      </c>
      <c r="G261" s="1">
        <v>5.5988199999999999</v>
      </c>
      <c r="H261" s="1">
        <v>0.28566811809322301</v>
      </c>
      <c r="I261" s="1">
        <v>0.64337</v>
      </c>
      <c r="J261" s="2">
        <v>1559735402455</v>
      </c>
      <c r="K261" s="2">
        <v>16000243370203</v>
      </c>
      <c r="L261" s="3">
        <v>24869295733093</v>
      </c>
      <c r="M261" s="3">
        <v>1577088286385</v>
      </c>
      <c r="N261" s="3">
        <v>6160214023204</v>
      </c>
      <c r="O261" s="2">
        <v>1322847018938</v>
      </c>
      <c r="P261" s="2">
        <v>6017543432613</v>
      </c>
      <c r="Q261" s="3">
        <v>19479450841694</v>
      </c>
      <c r="R261" s="3">
        <v>3479207471491</v>
      </c>
      <c r="S261">
        <v>1477007856080</v>
      </c>
      <c r="T261">
        <v>0.15240999999999999</v>
      </c>
      <c r="U261">
        <f t="shared" si="28"/>
        <v>1.2432569414621331</v>
      </c>
      <c r="V261">
        <f t="shared" si="29"/>
        <v>-3.1377579737678931</v>
      </c>
      <c r="W261">
        <f t="shared" si="30"/>
        <v>1.3215835327530168</v>
      </c>
      <c r="X261">
        <f t="shared" si="31"/>
        <v>0</v>
      </c>
      <c r="Y261">
        <f t="shared" si="32"/>
        <v>0</v>
      </c>
      <c r="Z261">
        <f t="shared" si="33"/>
        <v>0</v>
      </c>
      <c r="AA261">
        <f t="shared" si="34"/>
        <v>0</v>
      </c>
    </row>
    <row r="262" spans="1:27" x14ac:dyDescent="0.35">
      <c r="A262" s="1">
        <v>5.6702898567213502</v>
      </c>
      <c r="B262" s="1">
        <v>10.4721887041337</v>
      </c>
      <c r="C262" s="1">
        <v>5.0901479821699999E-2</v>
      </c>
      <c r="D262" s="1">
        <v>55.096510000000002</v>
      </c>
      <c r="E262" s="1">
        <v>24.95609</v>
      </c>
      <c r="F262" s="1">
        <v>11.87055</v>
      </c>
      <c r="G262" s="1">
        <v>4.9597899999999999</v>
      </c>
      <c r="H262" s="1">
        <v>0.23735997884664201</v>
      </c>
      <c r="I262" s="1">
        <v>0.61250000000000004</v>
      </c>
      <c r="J262" s="2">
        <v>-1766029126542</v>
      </c>
      <c r="K262" s="2">
        <v>19171563950938</v>
      </c>
      <c r="L262" s="3">
        <v>31300362430266</v>
      </c>
      <c r="M262" s="3">
        <v>1924830226980</v>
      </c>
      <c r="N262" s="3">
        <v>6666214436739</v>
      </c>
      <c r="O262" s="2">
        <v>1592491214696</v>
      </c>
      <c r="P262" s="2">
        <v>7811348181672</v>
      </c>
      <c r="Q262" s="3">
        <v>24013127662910</v>
      </c>
      <c r="R262" s="3">
        <v>4841563711972</v>
      </c>
      <c r="S262">
        <v>1429559360797</v>
      </c>
      <c r="T262">
        <v>0.15171000000000001</v>
      </c>
      <c r="U262">
        <f t="shared" si="28"/>
        <v>1.1186742969434256</v>
      </c>
      <c r="V262">
        <f t="shared" si="29"/>
        <v>-3.0866131949164322</v>
      </c>
      <c r="W262">
        <f t="shared" si="30"/>
        <v>1.2239123807754395</v>
      </c>
      <c r="X262">
        <f t="shared" si="31"/>
        <v>0</v>
      </c>
      <c r="Y262">
        <f t="shared" si="32"/>
        <v>0</v>
      </c>
      <c r="Z262">
        <f t="shared" si="33"/>
        <v>0</v>
      </c>
      <c r="AA262">
        <f t="shared" si="34"/>
        <v>0</v>
      </c>
    </row>
    <row r="263" spans="1:27" x14ac:dyDescent="0.35">
      <c r="A263" s="1">
        <v>9.0806804659975509</v>
      </c>
      <c r="B263" s="1">
        <v>18.009064260569001</v>
      </c>
      <c r="C263" s="1">
        <v>8.3262303994842995E-2</v>
      </c>
      <c r="D263" s="1">
        <v>56.753810000000001</v>
      </c>
      <c r="E263" s="1">
        <v>26.416930000000001</v>
      </c>
      <c r="F263" s="1">
        <v>15.403409999999999</v>
      </c>
      <c r="G263" s="1">
        <v>5.1717300000000002</v>
      </c>
      <c r="H263" s="1">
        <v>0.326291048505718</v>
      </c>
      <c r="I263" s="1">
        <v>0.64012999999999998</v>
      </c>
      <c r="J263" s="2">
        <v>1033821496351</v>
      </c>
      <c r="K263" s="2">
        <v>24233091874251</v>
      </c>
      <c r="L263" s="3">
        <v>37856376874602</v>
      </c>
      <c r="M263" s="3">
        <v>3323959216205</v>
      </c>
      <c r="N263" s="3">
        <v>11282612489511</v>
      </c>
      <c r="O263" s="3">
        <v>3139951258489</v>
      </c>
      <c r="P263" s="2">
        <v>10000491709908</v>
      </c>
      <c r="Q263" s="3">
        <v>30041977259097</v>
      </c>
      <c r="R263" s="3">
        <v>5808885384846</v>
      </c>
      <c r="S263">
        <v>2879074725647</v>
      </c>
      <c r="T263">
        <v>0.18379999999999999</v>
      </c>
      <c r="U263">
        <f t="shared" si="28"/>
        <v>1.3896977062022062</v>
      </c>
      <c r="V263">
        <f t="shared" si="29"/>
        <v>-3.1467952488223681</v>
      </c>
      <c r="W263">
        <f t="shared" si="30"/>
        <v>1.3734284406780355</v>
      </c>
      <c r="X263">
        <f t="shared" si="31"/>
        <v>0</v>
      </c>
      <c r="Y263">
        <f t="shared" si="32"/>
        <v>0</v>
      </c>
      <c r="Z263">
        <f t="shared" si="33"/>
        <v>0</v>
      </c>
      <c r="AA263">
        <f t="shared" si="34"/>
        <v>0</v>
      </c>
    </row>
    <row r="264" spans="1:27" x14ac:dyDescent="0.35">
      <c r="A264" s="1">
        <v>2.5867205694737998</v>
      </c>
      <c r="B264" s="1">
        <v>3.3481237711785701</v>
      </c>
      <c r="C264" s="1">
        <v>3.6151288765194002E-2</v>
      </c>
      <c r="D264" s="1">
        <v>65.406390000000002</v>
      </c>
      <c r="E264" s="1">
        <v>29.939029999999999</v>
      </c>
      <c r="F264" s="1">
        <v>5.4901400000000002</v>
      </c>
      <c r="G264" s="1">
        <v>6.9132699999999998</v>
      </c>
      <c r="H264" s="1">
        <v>0.21983651048990999</v>
      </c>
      <c r="I264" s="1">
        <v>0.69494999999999996</v>
      </c>
      <c r="J264" s="2">
        <v>-2644952000000</v>
      </c>
      <c r="K264" s="2">
        <v>28720053469338</v>
      </c>
      <c r="L264" s="3">
        <v>41326558178049</v>
      </c>
      <c r="M264" s="3">
        <v>1284829851140</v>
      </c>
      <c r="N264" s="3">
        <v>8703650066162</v>
      </c>
      <c r="O264" s="3">
        <v>1024120634260</v>
      </c>
      <c r="P264" s="2">
        <v>12372772454566</v>
      </c>
      <c r="Q264" s="3">
        <v>33576937023270</v>
      </c>
      <c r="R264" s="3">
        <v>4856883553932</v>
      </c>
      <c r="S264">
        <v>1431282575182</v>
      </c>
      <c r="T264">
        <v>0.17183999999999999</v>
      </c>
      <c r="U264">
        <f t="shared" si="28"/>
        <v>1.0809650259143808</v>
      </c>
      <c r="V264">
        <f t="shared" si="29"/>
        <v>-2.6773372533150441</v>
      </c>
      <c r="W264">
        <f t="shared" si="30"/>
        <v>1.3219628312924103</v>
      </c>
      <c r="X264">
        <f t="shared" si="31"/>
        <v>0</v>
      </c>
      <c r="Y264">
        <f t="shared" si="32"/>
        <v>0</v>
      </c>
      <c r="Z264">
        <f t="shared" si="33"/>
        <v>0</v>
      </c>
      <c r="AA264">
        <f t="shared" si="34"/>
        <v>0</v>
      </c>
    </row>
    <row r="265" spans="1:27" x14ac:dyDescent="0.35">
      <c r="A265" s="1">
        <v>2.82381363117609</v>
      </c>
      <c r="B265" s="1">
        <v>5.0471758524352497</v>
      </c>
      <c r="C265" s="1">
        <v>3.4816422443841998E-2</v>
      </c>
      <c r="D265" s="1">
        <v>61.902659999999997</v>
      </c>
      <c r="E265" s="1">
        <v>29.9649</v>
      </c>
      <c r="F265" s="1">
        <v>4.7562600000000002</v>
      </c>
      <c r="G265" s="1">
        <v>5.4546599999999996</v>
      </c>
      <c r="H265" s="1">
        <v>0.247307584894043</v>
      </c>
      <c r="I265" s="1">
        <v>0.67071999999999998</v>
      </c>
      <c r="J265" s="2">
        <v>-358292000000</v>
      </c>
      <c r="K265" s="2">
        <v>30587100000000</v>
      </c>
      <c r="L265" s="3">
        <v>45603683000000</v>
      </c>
      <c r="M265" s="3">
        <v>1557747000000</v>
      </c>
      <c r="N265" s="3">
        <v>10749254000000</v>
      </c>
      <c r="O265" s="3">
        <v>1227374000000</v>
      </c>
      <c r="P265" s="2">
        <v>13665098000000</v>
      </c>
      <c r="Q265" s="3">
        <v>37453409000000</v>
      </c>
      <c r="R265" s="3">
        <v>6866309000000</v>
      </c>
      <c r="S265">
        <v>1513300000000</v>
      </c>
      <c r="T265">
        <v>0.17422000000000001</v>
      </c>
      <c r="U265">
        <f t="shared" si="28"/>
        <v>1.0367281453407309</v>
      </c>
      <c r="V265">
        <f t="shared" si="29"/>
        <v>-2.6912946968649392</v>
      </c>
      <c r="W265">
        <f t="shared" si="30"/>
        <v>1.2770686989250406</v>
      </c>
      <c r="X265">
        <f t="shared" si="31"/>
        <v>0</v>
      </c>
      <c r="Y265">
        <f t="shared" si="32"/>
        <v>0</v>
      </c>
      <c r="Z265">
        <f t="shared" si="33"/>
        <v>0</v>
      </c>
      <c r="AA265">
        <f t="shared" si="34"/>
        <v>0</v>
      </c>
    </row>
    <row r="266" spans="1:27" x14ac:dyDescent="0.35">
      <c r="A266" s="1">
        <v>-1.39750427498884</v>
      </c>
      <c r="B266" s="1">
        <v>-2.0704491974038199</v>
      </c>
      <c r="C266" s="1">
        <v>-9.5358605218189996E-3</v>
      </c>
      <c r="D266" s="1">
        <v>56.689489999999999</v>
      </c>
      <c r="E266" s="1">
        <v>26.938189999999999</v>
      </c>
      <c r="F266" s="1">
        <v>-1.8273600000000001</v>
      </c>
      <c r="G266" s="1">
        <v>4.1695099999999998</v>
      </c>
      <c r="H266" s="1">
        <v>0.204567917274072</v>
      </c>
      <c r="I266" s="1">
        <v>0.54052999999999995</v>
      </c>
      <c r="J266" s="2">
        <v>-4465181000000</v>
      </c>
      <c r="K266" s="2">
        <v>27717951000000</v>
      </c>
      <c r="L266" s="2">
        <v>51279026000000</v>
      </c>
      <c r="M266" s="2">
        <v>-366825000000</v>
      </c>
      <c r="N266" s="2">
        <v>9909547000000</v>
      </c>
      <c r="O266" s="2">
        <v>-676970000000</v>
      </c>
      <c r="P266" s="2">
        <v>13813643000000</v>
      </c>
      <c r="Q266" s="2">
        <v>36463137000000</v>
      </c>
      <c r="R266" s="2">
        <v>8745186000000</v>
      </c>
      <c r="S266" s="1">
        <v>-461930000000</v>
      </c>
      <c r="T266" s="1">
        <v>8.5059999999999997E-2</v>
      </c>
      <c r="U266">
        <f t="shared" si="28"/>
        <v>0.57870752902473521</v>
      </c>
      <c r="V266">
        <f t="shared" si="29"/>
        <v>-2.6884373376125894</v>
      </c>
      <c r="W266">
        <f t="shared" si="30"/>
        <v>0.91800266237506145</v>
      </c>
      <c r="X266">
        <f t="shared" si="31"/>
        <v>1</v>
      </c>
      <c r="Y266">
        <f t="shared" si="32"/>
        <v>0</v>
      </c>
      <c r="Z266">
        <f t="shared" si="33"/>
        <v>0</v>
      </c>
      <c r="AA266">
        <f t="shared" si="34"/>
        <v>0</v>
      </c>
    </row>
    <row r="267" spans="1:27" x14ac:dyDescent="0.35">
      <c r="A267" s="1">
        <v>3.3133595355539498</v>
      </c>
      <c r="B267" s="1">
        <v>4.0429567772494703</v>
      </c>
      <c r="C267" s="1">
        <v>9.5904559398819998E-3</v>
      </c>
      <c r="D267" s="1">
        <v>60.102179999999997</v>
      </c>
      <c r="E267" s="1">
        <v>30.302530000000001</v>
      </c>
      <c r="F267" s="1">
        <v>0.87944</v>
      </c>
      <c r="G267" s="1">
        <v>4.0276399999999999</v>
      </c>
      <c r="H267" s="1">
        <v>0.22468592497798401</v>
      </c>
      <c r="I267" s="1">
        <v>0.50610999999999995</v>
      </c>
      <c r="J267" s="2">
        <v>-3008573000000</v>
      </c>
      <c r="K267" s="2">
        <v>24841585000000</v>
      </c>
      <c r="L267" s="2">
        <v>49083460000000</v>
      </c>
      <c r="M267" s="2">
        <v>2060165000000</v>
      </c>
      <c r="N267" s="2">
        <v>11275019000000</v>
      </c>
      <c r="O267" s="2">
        <v>1662685000000</v>
      </c>
      <c r="P267" s="2">
        <v>14873528000000</v>
      </c>
      <c r="Q267" s="2">
        <v>33046506000000</v>
      </c>
      <c r="R267" s="2">
        <v>8204921000000</v>
      </c>
      <c r="S267" s="1">
        <v>481261000000</v>
      </c>
      <c r="T267" s="1">
        <v>0.10231</v>
      </c>
      <c r="U267">
        <f t="shared" si="28"/>
        <v>0.80899673640220826</v>
      </c>
      <c r="V267">
        <f t="shared" si="29"/>
        <v>-2.7090813883895244</v>
      </c>
      <c r="W267">
        <f t="shared" si="30"/>
        <v>0.92599804239554429</v>
      </c>
      <c r="X267">
        <f t="shared" si="31"/>
        <v>1</v>
      </c>
      <c r="Y267">
        <f t="shared" si="32"/>
        <v>0</v>
      </c>
      <c r="Z267">
        <f t="shared" si="33"/>
        <v>0</v>
      </c>
      <c r="AA267">
        <f t="shared" si="34"/>
        <v>0</v>
      </c>
    </row>
    <row r="268" spans="1:27" x14ac:dyDescent="0.35">
      <c r="A268" s="1">
        <v>-3.9580601738361199</v>
      </c>
      <c r="B268" s="1">
        <v>-8.5279476935078193</v>
      </c>
      <c r="C268" s="1">
        <v>-2.7884879901504001E-2</v>
      </c>
      <c r="D268" s="1">
        <v>35.643270000000001</v>
      </c>
      <c r="E268" s="1">
        <v>22.245719999999999</v>
      </c>
      <c r="F268" s="1">
        <v>-1.6249</v>
      </c>
      <c r="G268" s="1">
        <v>5.4055900000000001</v>
      </c>
      <c r="H268" s="1">
        <v>0.233809850700889</v>
      </c>
      <c r="I268" s="1">
        <v>0.5504</v>
      </c>
      <c r="J268" s="2">
        <v>-4283010000000</v>
      </c>
      <c r="K268" s="2">
        <v>30315999000000</v>
      </c>
      <c r="L268" s="3">
        <v>55079585000000</v>
      </c>
      <c r="M268" s="3">
        <v>-1665165000000</v>
      </c>
      <c r="N268" s="3">
        <v>12177173000000</v>
      </c>
      <c r="O268" s="2">
        <v>-2061418000000</v>
      </c>
      <c r="P268" s="2">
        <v>12252852000000</v>
      </c>
      <c r="Q268" s="3">
        <v>37197250000000</v>
      </c>
      <c r="R268" s="3">
        <v>6881251000000</v>
      </c>
      <c r="S268">
        <v>-1452287000000</v>
      </c>
      <c r="T268">
        <v>5.4559999999999997E-2</v>
      </c>
      <c r="U268">
        <f t="shared" si="28"/>
        <v>0.41469143456392676</v>
      </c>
      <c r="V268">
        <f t="shared" si="29"/>
        <v>-2.8419536308229243</v>
      </c>
      <c r="W268">
        <f t="shared" si="30"/>
        <v>0.87481354587185067</v>
      </c>
      <c r="X268">
        <f t="shared" si="31"/>
        <v>1</v>
      </c>
      <c r="Y268">
        <f t="shared" si="32"/>
        <v>0</v>
      </c>
      <c r="Z268">
        <f t="shared" si="33"/>
        <v>0</v>
      </c>
      <c r="AA268">
        <f t="shared" si="34"/>
        <v>0</v>
      </c>
    </row>
    <row r="269" spans="1:27" x14ac:dyDescent="0.35">
      <c r="A269" s="1">
        <v>-18.022748408259901</v>
      </c>
      <c r="B269" s="1">
        <v>-36.852394122782798</v>
      </c>
      <c r="C269" s="1">
        <v>-6.6587626086345997E-2</v>
      </c>
      <c r="D269" s="1">
        <v>76.02055</v>
      </c>
      <c r="E269" s="1">
        <v>34.552509999999998</v>
      </c>
      <c r="F269" s="1">
        <v>-1.93153</v>
      </c>
      <c r="G269" s="1">
        <v>3.1282999999999999</v>
      </c>
      <c r="H269" s="1">
        <v>0.22087891573117499</v>
      </c>
      <c r="I269" s="1">
        <v>0.43390000000000001</v>
      </c>
      <c r="J269" s="2">
        <v>-2267078000000</v>
      </c>
      <c r="K269" s="2">
        <v>22504372000000</v>
      </c>
      <c r="L269" s="3">
        <v>51865480000000</v>
      </c>
      <c r="M269" s="3">
        <v>-9310773000000</v>
      </c>
      <c r="N269" s="3">
        <v>11810955000000</v>
      </c>
      <c r="O269" s="2">
        <v>-9637220000000</v>
      </c>
      <c r="P269" s="2">
        <v>17920823000000</v>
      </c>
      <c r="Q269" s="3">
        <v>33078230000000</v>
      </c>
      <c r="R269" s="3">
        <v>10573858000000</v>
      </c>
      <c r="S269">
        <v>-3560609000000</v>
      </c>
      <c r="T269">
        <v>-0.12759000000000001</v>
      </c>
      <c r="U269">
        <f t="shared" si="28"/>
        <v>-0.25391378810550447</v>
      </c>
      <c r="V269">
        <f t="shared" si="29"/>
        <v>-1.4818406999547877</v>
      </c>
      <c r="W269">
        <f t="shared" si="30"/>
        <v>0.53627263459241092</v>
      </c>
      <c r="X269">
        <f t="shared" si="31"/>
        <v>1</v>
      </c>
      <c r="Y269">
        <f t="shared" si="32"/>
        <v>0</v>
      </c>
      <c r="Z269">
        <f t="shared" si="33"/>
        <v>0</v>
      </c>
      <c r="AA269">
        <f t="shared" si="34"/>
        <v>0</v>
      </c>
    </row>
    <row r="270" spans="1:27" x14ac:dyDescent="0.35">
      <c r="A270" s="1">
        <v>-3.1231148941200599</v>
      </c>
      <c r="B270" s="1">
        <v>-8.3856485749811096</v>
      </c>
      <c r="C270" s="1">
        <v>1.3299660086405001E-2</v>
      </c>
      <c r="D270" s="1">
        <v>88.354860000000002</v>
      </c>
      <c r="E270" s="1">
        <v>38.147320000000001</v>
      </c>
      <c r="F270" s="1">
        <v>0.29815999999999998</v>
      </c>
      <c r="G270" s="1">
        <v>3.2661899999999999</v>
      </c>
      <c r="H270" s="1">
        <v>0.31051635296401198</v>
      </c>
      <c r="I270" s="1">
        <v>0.41798000000000002</v>
      </c>
      <c r="J270" s="2">
        <v>1633036000000</v>
      </c>
      <c r="K270" s="2">
        <v>21768935000000</v>
      </c>
      <c r="L270" s="3">
        <v>52080936000000</v>
      </c>
      <c r="M270" s="3">
        <v>-1108251000000</v>
      </c>
      <c r="N270" s="3">
        <v>16138531000000</v>
      </c>
      <c r="O270" s="2">
        <v>-1623183000000</v>
      </c>
      <c r="P270" s="2">
        <v>19867481000000</v>
      </c>
      <c r="Q270" s="3">
        <v>31374902000000</v>
      </c>
      <c r="R270" s="3">
        <v>9605967000000</v>
      </c>
      <c r="S270">
        <v>691226000000</v>
      </c>
      <c r="T270">
        <v>-0.15883</v>
      </c>
      <c r="U270">
        <f t="shared" si="28"/>
        <v>0.51907247170806958</v>
      </c>
      <c r="V270">
        <f t="shared" si="29"/>
        <v>-1.9722885724798673</v>
      </c>
      <c r="W270">
        <f t="shared" si="30"/>
        <v>0.79135133973014626</v>
      </c>
      <c r="X270">
        <f t="shared" si="31"/>
        <v>1</v>
      </c>
      <c r="Y270">
        <f t="shared" si="32"/>
        <v>0</v>
      </c>
      <c r="Z270">
        <f t="shared" si="33"/>
        <v>0</v>
      </c>
      <c r="AA270">
        <f t="shared" si="34"/>
        <v>0</v>
      </c>
    </row>
    <row r="271" spans="1:27" x14ac:dyDescent="0.35">
      <c r="A271" s="1">
        <v>-4.5658718073269</v>
      </c>
      <c r="B271" s="1">
        <v>-15.8010946472701</v>
      </c>
      <c r="C271" s="1">
        <v>2.7487019286842999E-2</v>
      </c>
      <c r="D271" s="1">
        <v>110.71679</v>
      </c>
      <c r="E271" s="1">
        <v>42.491860000000003</v>
      </c>
      <c r="F271" s="1">
        <v>0.78012000000000004</v>
      </c>
      <c r="G271" s="1">
        <v>3.1250499999999999</v>
      </c>
      <c r="H271" s="1">
        <v>0.287863112770126</v>
      </c>
      <c r="I271" s="1">
        <v>0.39739000000000002</v>
      </c>
      <c r="J271" s="2">
        <v>-90312000000</v>
      </c>
      <c r="K271" s="2">
        <v>19818141000000</v>
      </c>
      <c r="L271" s="3">
        <v>49870897000000</v>
      </c>
      <c r="M271" s="3">
        <v>-1893616000000</v>
      </c>
      <c r="N271" s="3">
        <v>14674086000000</v>
      </c>
      <c r="O271" s="2">
        <v>-2327495000000</v>
      </c>
      <c r="P271" s="2">
        <v>21191072000000</v>
      </c>
      <c r="Q271" s="3">
        <v>29144101000000</v>
      </c>
      <c r="R271" s="3">
        <v>9325960000000</v>
      </c>
      <c r="S271">
        <v>1401176000000</v>
      </c>
      <c r="T271">
        <v>-0.2198</v>
      </c>
      <c r="U271">
        <f t="shared" si="28"/>
        <v>0.47925050648334405</v>
      </c>
      <c r="V271">
        <f t="shared" si="29"/>
        <v>-1.6554469193885459</v>
      </c>
      <c r="W271">
        <f t="shared" si="30"/>
        <v>0.80758396952434996</v>
      </c>
      <c r="X271">
        <f t="shared" si="31"/>
        <v>1</v>
      </c>
      <c r="Y271">
        <f t="shared" si="32"/>
        <v>0</v>
      </c>
      <c r="Z271">
        <f t="shared" si="33"/>
        <v>0</v>
      </c>
      <c r="AA271">
        <f t="shared" si="34"/>
        <v>0</v>
      </c>
    </row>
    <row r="272" spans="1:27" x14ac:dyDescent="0.35">
      <c r="A272" s="1">
        <v>1.31473790563218</v>
      </c>
      <c r="B272" s="1">
        <v>0.32731491252355599</v>
      </c>
      <c r="C272" s="1">
        <v>6.5829270995823003E-2</v>
      </c>
      <c r="D272" s="1">
        <v>103.38587</v>
      </c>
      <c r="E272" s="1">
        <v>40.891550000000002</v>
      </c>
      <c r="F272" s="1">
        <v>1.7842499999999999</v>
      </c>
      <c r="G272" s="1">
        <v>3.0045099999999998</v>
      </c>
      <c r="H272" s="1">
        <v>0.33591610909469299</v>
      </c>
      <c r="I272" s="1">
        <v>0.40129999999999999</v>
      </c>
      <c r="J272" s="2">
        <v>2099480000000</v>
      </c>
      <c r="K272" s="2">
        <v>19892708000000</v>
      </c>
      <c r="L272" s="3">
        <v>49570824000000</v>
      </c>
      <c r="M272" s="3">
        <v>1264818000000</v>
      </c>
      <c r="N272" s="3">
        <v>16702038000000</v>
      </c>
      <c r="O272" s="2">
        <v>653699000000</v>
      </c>
      <c r="P272" s="2">
        <v>20270279000000</v>
      </c>
      <c r="Q272" s="3">
        <v>29816689000000</v>
      </c>
      <c r="R272" s="3">
        <v>9923981000000</v>
      </c>
      <c r="S272">
        <v>3273088000000</v>
      </c>
      <c r="T272">
        <v>-0.22012000000000001</v>
      </c>
      <c r="U272">
        <f t="shared" si="28"/>
        <v>0.83493579674828888</v>
      </c>
      <c r="V272">
        <f t="shared" si="29"/>
        <v>-2.0165058074725679</v>
      </c>
      <c r="W272">
        <f t="shared" si="30"/>
        <v>0.94411494761515369</v>
      </c>
      <c r="X272">
        <f t="shared" si="31"/>
        <v>1</v>
      </c>
      <c r="Y272">
        <f t="shared" si="32"/>
        <v>0</v>
      </c>
      <c r="Z272">
        <f t="shared" si="33"/>
        <v>0</v>
      </c>
      <c r="AA272">
        <f t="shared" si="34"/>
        <v>0</v>
      </c>
    </row>
    <row r="273" spans="1:27" x14ac:dyDescent="0.35">
      <c r="A273" s="1">
        <v>36.238561149667497</v>
      </c>
      <c r="B273" s="1">
        <v>82.978062500532602</v>
      </c>
      <c r="C273" s="1">
        <v>-1.0021510104191E-2</v>
      </c>
      <c r="D273" s="1">
        <v>29.652609999999999</v>
      </c>
      <c r="E273" s="1">
        <v>17.06202</v>
      </c>
      <c r="F273" s="1">
        <v>-0.34591</v>
      </c>
      <c r="G273" s="1">
        <v>3.1077400000000002</v>
      </c>
      <c r="H273" s="1">
        <v>0.21959293320071399</v>
      </c>
      <c r="I273" s="1">
        <v>0.43530999999999997</v>
      </c>
      <c r="J273" s="2">
        <v>1746490000000</v>
      </c>
      <c r="K273" s="2">
        <v>23412790000000</v>
      </c>
      <c r="L273" s="3">
        <v>53783859000000</v>
      </c>
      <c r="M273" s="3">
        <v>19090744000000</v>
      </c>
      <c r="N273" s="3">
        <v>11347979000000</v>
      </c>
      <c r="O273" s="2">
        <v>18727125000000</v>
      </c>
      <c r="P273" s="2">
        <v>9176614000000</v>
      </c>
      <c r="Q273" s="3">
        <v>34520772000000</v>
      </c>
      <c r="R273" s="3">
        <v>11107982000000</v>
      </c>
      <c r="S273">
        <v>-517885000000</v>
      </c>
      <c r="T273">
        <v>0.14599000000000001</v>
      </c>
      <c r="U273">
        <f t="shared" si="28"/>
        <v>1.6375174562333061</v>
      </c>
      <c r="V273">
        <f t="shared" si="29"/>
        <v>-4.8818990543730543</v>
      </c>
      <c r="W273">
        <f t="shared" si="30"/>
        <v>0.74805969060345789</v>
      </c>
      <c r="X273">
        <f t="shared" si="31"/>
        <v>0</v>
      </c>
      <c r="Y273">
        <f t="shared" si="32"/>
        <v>0</v>
      </c>
      <c r="Z273">
        <f t="shared" si="33"/>
        <v>0</v>
      </c>
      <c r="AA273">
        <f t="shared" si="34"/>
        <v>0</v>
      </c>
    </row>
    <row r="274" spans="1:27" x14ac:dyDescent="0.35">
      <c r="A274">
        <v>1.1114025010705499</v>
      </c>
      <c r="B274" s="1">
        <v>1.5652130316156501</v>
      </c>
      <c r="C274">
        <v>2.1721018550909998E-3</v>
      </c>
      <c r="D274">
        <v>31.043209999999998</v>
      </c>
      <c r="E274">
        <v>19.573149999999998</v>
      </c>
      <c r="F274" s="1" t="s">
        <v>3</v>
      </c>
      <c r="G274" s="1">
        <v>4.0730700000000004</v>
      </c>
      <c r="H274" s="1">
        <v>0.175351398820628</v>
      </c>
      <c r="I274" s="1">
        <v>0.45158999999999999</v>
      </c>
      <c r="J274" s="2">
        <v>-1629386000000</v>
      </c>
      <c r="K274" s="2">
        <v>22239341000000</v>
      </c>
      <c r="L274" s="3">
        <v>49247221000000</v>
      </c>
      <c r="M274" s="3">
        <v>859688000000</v>
      </c>
      <c r="N274" s="3">
        <v>9033322000000</v>
      </c>
      <c r="O274" s="3">
        <v>572545000000</v>
      </c>
      <c r="P274" s="3">
        <v>9639232000000</v>
      </c>
      <c r="Q274" s="3">
        <v>29476186000000</v>
      </c>
      <c r="R274" s="3">
        <v>7236845000000</v>
      </c>
      <c r="S274">
        <v>111897000000</v>
      </c>
      <c r="T274">
        <v>0.16899</v>
      </c>
      <c r="U274">
        <f t="shared" si="28"/>
        <v>0.62388350832800699</v>
      </c>
      <c r="V274">
        <f t="shared" si="29"/>
        <v>-3.2203549236054081</v>
      </c>
      <c r="W274">
        <f t="shared" si="30"/>
        <v>0.81003682126550869</v>
      </c>
      <c r="X274">
        <f t="shared" si="31"/>
        <v>1</v>
      </c>
      <c r="Y274">
        <f t="shared" si="32"/>
        <v>0</v>
      </c>
      <c r="Z274">
        <f t="shared" si="33"/>
        <v>0</v>
      </c>
      <c r="AA274">
        <f t="shared" si="34"/>
        <v>0</v>
      </c>
    </row>
    <row r="275" spans="1:27" x14ac:dyDescent="0.35">
      <c r="A275" s="1">
        <v>-4.8423976517565998E-2</v>
      </c>
      <c r="B275" s="1">
        <v>-0.19803974004621699</v>
      </c>
      <c r="C275" s="1">
        <v>9.4926640633332005E-2</v>
      </c>
      <c r="D275" s="1">
        <v>241.27388999999999</v>
      </c>
      <c r="E275" s="1">
        <v>56.313920000000003</v>
      </c>
      <c r="F275" s="1">
        <v>1.1235299999999999</v>
      </c>
      <c r="G275" s="1">
        <v>0.82632000000000005</v>
      </c>
      <c r="H275" s="1">
        <v>1.05785953283673</v>
      </c>
      <c r="I275" s="1">
        <v>-5.6509999999999998E-2</v>
      </c>
      <c r="J275" s="1">
        <v>9144964000</v>
      </c>
      <c r="K275" s="1">
        <v>-4569809000</v>
      </c>
      <c r="L275" s="1">
        <v>80861026000</v>
      </c>
      <c r="M275" s="1">
        <v>1140025000</v>
      </c>
      <c r="N275" s="1">
        <v>82618555000</v>
      </c>
      <c r="O275" s="1">
        <v>-37819000</v>
      </c>
      <c r="P275" s="1">
        <v>45536012000</v>
      </c>
      <c r="Q275" s="1">
        <v>21741500000</v>
      </c>
      <c r="R275" s="1">
        <v>26311309000</v>
      </c>
      <c r="S275" s="1">
        <v>7413746000</v>
      </c>
      <c r="T275" s="1">
        <v>-1.1026100000000001</v>
      </c>
      <c r="U275">
        <f t="shared" si="28"/>
        <v>0.66055403642677957</v>
      </c>
      <c r="V275">
        <f t="shared" si="29"/>
        <v>-1.0846967278902113</v>
      </c>
      <c r="W275">
        <f t="shared" si="30"/>
        <v>0.27583968464609887</v>
      </c>
      <c r="X275">
        <f t="shared" si="31"/>
        <v>1</v>
      </c>
      <c r="Y275">
        <f t="shared" si="32"/>
        <v>0</v>
      </c>
      <c r="Z275">
        <f t="shared" si="33"/>
        <v>0</v>
      </c>
      <c r="AA275">
        <f t="shared" si="34"/>
        <v>0</v>
      </c>
    </row>
    <row r="276" spans="1:27" x14ac:dyDescent="0.35">
      <c r="A276" s="1">
        <v>0.107531979505281</v>
      </c>
      <c r="B276" s="1">
        <v>0.46832120578384201</v>
      </c>
      <c r="C276" s="1">
        <v>0.125354810195834</v>
      </c>
      <c r="D276" s="1">
        <v>225.82307</v>
      </c>
      <c r="E276" s="1">
        <v>51.550289999999997</v>
      </c>
      <c r="F276" s="1">
        <v>1.3557399999999999</v>
      </c>
      <c r="G276" s="1">
        <v>0.62636000000000003</v>
      </c>
      <c r="H276" s="1">
        <v>1.3754691568692901</v>
      </c>
      <c r="I276" s="1">
        <v>-0.15554000000000001</v>
      </c>
      <c r="J276" s="1">
        <v>10250713000</v>
      </c>
      <c r="K276" s="1">
        <v>-13685614000</v>
      </c>
      <c r="L276" s="1">
        <v>87987349000</v>
      </c>
      <c r="M276" s="1">
        <v>2333929000</v>
      </c>
      <c r="N276" s="1">
        <v>116122866000</v>
      </c>
      <c r="O276" s="1">
        <v>90783000</v>
      </c>
      <c r="P276" s="1">
        <v>45357735000</v>
      </c>
      <c r="Q276" s="1">
        <v>22941788000</v>
      </c>
      <c r="R276" s="1">
        <v>36627402000</v>
      </c>
      <c r="S276" s="1">
        <v>10582978000</v>
      </c>
      <c r="T276" s="1">
        <v>-0.99951999999999996</v>
      </c>
      <c r="U276">
        <f t="shared" si="28"/>
        <v>0.77901064005621001</v>
      </c>
      <c r="V276">
        <f t="shared" si="29"/>
        <v>-1.3637709340718047</v>
      </c>
      <c r="W276">
        <f t="shared" si="30"/>
        <v>0.20980204134801236</v>
      </c>
      <c r="X276">
        <f t="shared" si="31"/>
        <v>1</v>
      </c>
      <c r="Y276">
        <f t="shared" si="32"/>
        <v>0</v>
      </c>
      <c r="Z276">
        <f t="shared" si="33"/>
        <v>0</v>
      </c>
      <c r="AA276">
        <f t="shared" si="34"/>
        <v>0</v>
      </c>
    </row>
    <row r="277" spans="1:27" x14ac:dyDescent="0.35">
      <c r="A277" s="1">
        <v>3.7243918859635099</v>
      </c>
      <c r="B277" s="1">
        <v>8.4835126676137804</v>
      </c>
      <c r="C277" s="1">
        <v>2.3402879626315001E-2</v>
      </c>
      <c r="D277" s="1">
        <v>59.892440000000001</v>
      </c>
      <c r="E277" s="1">
        <v>27.26296</v>
      </c>
      <c r="F277" s="1">
        <v>4.03979</v>
      </c>
      <c r="G277" s="1">
        <v>0.49025999999999997</v>
      </c>
      <c r="H277" s="1">
        <v>0.21077042368758001</v>
      </c>
      <c r="I277" s="1">
        <v>-0.14448</v>
      </c>
      <c r="J277" s="1">
        <v>9526493000</v>
      </c>
      <c r="K277" s="1">
        <v>-170785380000</v>
      </c>
      <c r="L277" s="1">
        <v>1182082167000</v>
      </c>
      <c r="M277" s="1">
        <v>26304276000</v>
      </c>
      <c r="N277" s="1">
        <v>133846545000</v>
      </c>
      <c r="O277" s="1">
        <v>23651183000</v>
      </c>
      <c r="P277" s="1">
        <v>322270616000</v>
      </c>
      <c r="Q277" s="1">
        <v>164261932000</v>
      </c>
      <c r="R277" s="1">
        <v>335047312000</v>
      </c>
      <c r="S277" s="1">
        <v>14861642000</v>
      </c>
      <c r="T277" s="1">
        <v>-5.3260000000000002E-2</v>
      </c>
      <c r="U277">
        <f t="shared" si="28"/>
        <v>-1.3107612806683148E-2</v>
      </c>
      <c r="V277">
        <f t="shared" si="29"/>
        <v>-2.8340864031389699</v>
      </c>
      <c r="W277">
        <f t="shared" si="30"/>
        <v>-0.13827274427108413</v>
      </c>
      <c r="X277">
        <f t="shared" si="31"/>
        <v>1</v>
      </c>
      <c r="Y277">
        <f t="shared" si="32"/>
        <v>0</v>
      </c>
      <c r="Z277">
        <f t="shared" si="33"/>
        <v>1</v>
      </c>
      <c r="AA277">
        <f t="shared" si="34"/>
        <v>1</v>
      </c>
    </row>
    <row r="278" spans="1:27" x14ac:dyDescent="0.35">
      <c r="A278" s="1">
        <v>-6.3176490205453097</v>
      </c>
      <c r="B278" s="1">
        <v>-51.765297848341298</v>
      </c>
      <c r="C278" s="1">
        <v>3.9872337000492003E-2</v>
      </c>
      <c r="D278" s="1">
        <v>712.47127</v>
      </c>
      <c r="E278" s="1">
        <v>70.345579999999998</v>
      </c>
      <c r="F278" s="1">
        <v>0.72868999999999995</v>
      </c>
      <c r="G278" s="1">
        <v>0.66190000000000004</v>
      </c>
      <c r="H278" s="1">
        <v>0.174265100514886</v>
      </c>
      <c r="I278" s="1">
        <v>-7.2840000000000002E-2</v>
      </c>
      <c r="J278" s="1">
        <v>746728544000</v>
      </c>
      <c r="K278" s="1">
        <v>-914382547000</v>
      </c>
      <c r="L278" s="1">
        <v>12552923001000</v>
      </c>
      <c r="M278" s="1">
        <v>-526763716382</v>
      </c>
      <c r="N278" s="1">
        <v>1196766028087</v>
      </c>
      <c r="O278" s="1">
        <v>-433864709734</v>
      </c>
      <c r="P278" s="1">
        <v>8830426075000</v>
      </c>
      <c r="Q278" s="1">
        <v>1790061720000</v>
      </c>
      <c r="R278" s="1">
        <v>2704444267000</v>
      </c>
      <c r="S278" s="1">
        <v>273823377381</v>
      </c>
      <c r="T278" s="1">
        <v>-3.9649999999999998E-2</v>
      </c>
      <c r="U278">
        <f t="shared" si="28"/>
        <v>-9.8477783368260269E-2</v>
      </c>
      <c r="V278">
        <f t="shared" si="29"/>
        <v>-0.13212174953061953</v>
      </c>
      <c r="W278">
        <f t="shared" si="30"/>
        <v>1.0510567916784749E-2</v>
      </c>
      <c r="X278">
        <f t="shared" si="31"/>
        <v>1</v>
      </c>
      <c r="Y278">
        <f t="shared" si="32"/>
        <v>0</v>
      </c>
      <c r="Z278">
        <f t="shared" si="33"/>
        <v>0</v>
      </c>
      <c r="AA278">
        <f t="shared" si="34"/>
        <v>0</v>
      </c>
    </row>
    <row r="279" spans="1:27" x14ac:dyDescent="0.35">
      <c r="A279" s="1">
        <v>-24.232849761905499</v>
      </c>
      <c r="B279" s="1" t="s">
        <v>3</v>
      </c>
      <c r="C279" s="1">
        <v>5.1330102729677002E-2</v>
      </c>
      <c r="D279" s="1" t="s">
        <v>3</v>
      </c>
      <c r="E279" s="1">
        <v>91.691540000000003</v>
      </c>
      <c r="F279" s="1">
        <v>0.43737999999999999</v>
      </c>
      <c r="G279" s="1">
        <v>0.20577999999999999</v>
      </c>
      <c r="H279" s="1">
        <v>0.24819996463254701</v>
      </c>
      <c r="I279" s="1">
        <v>-0.73089000000000004</v>
      </c>
      <c r="J279" s="1">
        <v>512044036006</v>
      </c>
      <c r="K279" s="1">
        <v>-6812124091273</v>
      </c>
      <c r="L279" s="1">
        <v>9320284737524</v>
      </c>
      <c r="M279" s="1">
        <v>-3094384986211</v>
      </c>
      <c r="N279" s="1">
        <v>2714464693551</v>
      </c>
      <c r="O279" s="1">
        <v>-2650250784693</v>
      </c>
      <c r="P279" s="1">
        <v>8545912805958.999</v>
      </c>
      <c r="Q279" s="1">
        <v>1764960096224</v>
      </c>
      <c r="R279" s="1">
        <v>8577084187497</v>
      </c>
      <c r="S279" s="1">
        <v>561377000123</v>
      </c>
      <c r="T279" s="1">
        <v>-0.37386000000000003</v>
      </c>
      <c r="U279">
        <f t="shared" si="28"/>
        <v>-0.68952104978389239</v>
      </c>
      <c r="V279">
        <f t="shared" si="29"/>
        <v>2.2068294376622681</v>
      </c>
      <c r="W279">
        <f t="shared" si="30"/>
        <v>-0.94849304218214781</v>
      </c>
      <c r="X279">
        <f t="shared" si="31"/>
        <v>1</v>
      </c>
      <c r="Y279">
        <f t="shared" si="32"/>
        <v>1</v>
      </c>
      <c r="Z279">
        <f t="shared" si="33"/>
        <v>1</v>
      </c>
      <c r="AA279">
        <f t="shared" si="34"/>
        <v>1</v>
      </c>
    </row>
    <row r="280" spans="1:27" x14ac:dyDescent="0.35">
      <c r="A280" s="1">
        <v>-23.304490970320401</v>
      </c>
      <c r="B280" s="1" t="s">
        <v>3</v>
      </c>
      <c r="C280" s="1">
        <v>4.1743710109911999E-2</v>
      </c>
      <c r="D280" s="1" t="s">
        <v>3</v>
      </c>
      <c r="E280" s="1">
        <v>112.91654</v>
      </c>
      <c r="F280" s="1">
        <v>0.26695000000000002</v>
      </c>
      <c r="G280" s="1">
        <v>0.17780000000000001</v>
      </c>
      <c r="H280" s="1">
        <v>0.26263700940843299</v>
      </c>
      <c r="I280" s="1">
        <v>-0.91181999999999996</v>
      </c>
      <c r="J280" s="1">
        <v>-118091216515</v>
      </c>
      <c r="K280" s="1">
        <v>-7077010226963</v>
      </c>
      <c r="L280" s="1">
        <v>7761381664157</v>
      </c>
      <c r="M280" s="1">
        <v>-1936447080586</v>
      </c>
      <c r="N280" s="1">
        <v>2243138889725</v>
      </c>
      <c r="O280" s="1">
        <v>-1990397702080</v>
      </c>
      <c r="P280" s="1">
        <v>8763883739009</v>
      </c>
      <c r="Q280" s="1">
        <v>1530352766965</v>
      </c>
      <c r="R280" s="1">
        <v>8607362993928</v>
      </c>
      <c r="S280" s="1">
        <v>356526065233</v>
      </c>
      <c r="T280" s="1">
        <v>-0.69791999999999998</v>
      </c>
      <c r="U280">
        <f t="shared" si="28"/>
        <v>-0.83103378733826161</v>
      </c>
      <c r="V280">
        <f t="shared" si="29"/>
        <v>3.290974041031979</v>
      </c>
      <c r="W280">
        <f t="shared" si="30"/>
        <v>-1.2952461548486471</v>
      </c>
      <c r="X280">
        <f t="shared" si="31"/>
        <v>1</v>
      </c>
      <c r="Y280">
        <f t="shared" si="32"/>
        <v>1</v>
      </c>
      <c r="Z280">
        <f t="shared" si="33"/>
        <v>1</v>
      </c>
      <c r="AA280">
        <f t="shared" si="34"/>
        <v>1</v>
      </c>
    </row>
    <row r="281" spans="1:27" x14ac:dyDescent="0.35">
      <c r="A281" s="1">
        <v>94.945977592100704</v>
      </c>
      <c r="B281" s="1" t="s">
        <v>3</v>
      </c>
      <c r="C281" s="1">
        <v>3.3524288443053003E-2</v>
      </c>
      <c r="D281" s="1">
        <v>19.060600000000001</v>
      </c>
      <c r="E281" s="1">
        <v>13.816380000000001</v>
      </c>
      <c r="F281" s="1">
        <v>8.9910000000000004E-2</v>
      </c>
      <c r="G281" s="1">
        <v>2.4696199999999999</v>
      </c>
      <c r="H281" s="1">
        <v>0.52275421400329003</v>
      </c>
      <c r="I281" s="1">
        <v>0.21310000000000001</v>
      </c>
      <c r="J281" s="1">
        <v>225002940843</v>
      </c>
      <c r="K281" s="1">
        <v>86459340489</v>
      </c>
      <c r="L281" s="1">
        <v>405720330956</v>
      </c>
      <c r="M281" s="1">
        <v>3736127692668</v>
      </c>
      <c r="N281" s="1">
        <v>2134693492070</v>
      </c>
      <c r="O281" s="1">
        <v>3877167415102</v>
      </c>
      <c r="P281" s="1">
        <v>56055876590</v>
      </c>
      <c r="Q281" s="1">
        <v>145290415176</v>
      </c>
      <c r="R281" s="1">
        <v>58831074687</v>
      </c>
      <c r="S281" s="1">
        <v>136898141514</v>
      </c>
      <c r="T281" s="1">
        <v>-2.9184800000000002</v>
      </c>
      <c r="U281">
        <f t="shared" si="28"/>
        <v>45.273945609953813</v>
      </c>
      <c r="V281">
        <f t="shared" si="29"/>
        <v>-46.505740418324621</v>
      </c>
      <c r="W281">
        <f t="shared" si="30"/>
        <v>1.7100940477687672</v>
      </c>
      <c r="X281">
        <f t="shared" si="31"/>
        <v>0</v>
      </c>
      <c r="Y281">
        <f t="shared" si="32"/>
        <v>0</v>
      </c>
      <c r="Z281">
        <f t="shared" si="33"/>
        <v>0</v>
      </c>
      <c r="AA281">
        <f t="shared" si="34"/>
        <v>0</v>
      </c>
    </row>
    <row r="282" spans="1:27" x14ac:dyDescent="0.35">
      <c r="A282" s="1">
        <v>2.4544460775608901</v>
      </c>
      <c r="B282" s="1">
        <v>3.6266417408759501</v>
      </c>
      <c r="C282" s="1">
        <v>9.6890706183189994E-3</v>
      </c>
      <c r="D282" s="1">
        <v>15.834770000000001</v>
      </c>
      <c r="E282" s="1">
        <v>11.982379999999999</v>
      </c>
      <c r="F282" s="1">
        <v>0.81086000000000003</v>
      </c>
      <c r="G282" s="1">
        <v>1.2244299999999999</v>
      </c>
      <c r="H282" s="1">
        <v>0.60559537592703205</v>
      </c>
      <c r="I282" s="1">
        <v>2.9749999999999999E-2</v>
      </c>
      <c r="J282" s="1">
        <v>27787020352</v>
      </c>
      <c r="K282" s="1">
        <v>12048167802</v>
      </c>
      <c r="L282" s="1">
        <v>405042661229</v>
      </c>
      <c r="M282" s="1">
        <v>11241698615</v>
      </c>
      <c r="N282" s="1">
        <v>245497159520</v>
      </c>
      <c r="O282" s="1">
        <v>9949870230</v>
      </c>
      <c r="P282" s="1">
        <v>48533743497</v>
      </c>
      <c r="Q282" s="1">
        <v>65731628662</v>
      </c>
      <c r="R282" s="1">
        <v>53683460860</v>
      </c>
      <c r="S282" s="1">
        <v>3927769943</v>
      </c>
      <c r="T282" s="1">
        <v>-2.8968600000000002</v>
      </c>
      <c r="U282">
        <f t="shared" si="28"/>
        <v>0.44105761004469846</v>
      </c>
      <c r="V282">
        <f t="shared" si="29"/>
        <v>-3.7226491935701587</v>
      </c>
      <c r="W282">
        <f t="shared" si="30"/>
        <v>0.13948218491746373</v>
      </c>
      <c r="X282">
        <f t="shared" si="31"/>
        <v>1</v>
      </c>
      <c r="Y282">
        <f t="shared" si="32"/>
        <v>0</v>
      </c>
      <c r="Z282">
        <f t="shared" si="33"/>
        <v>0</v>
      </c>
      <c r="AA282">
        <f t="shared" si="34"/>
        <v>0</v>
      </c>
    </row>
    <row r="283" spans="1:27" x14ac:dyDescent="0.35">
      <c r="A283" s="1">
        <v>-0.38290850495888701</v>
      </c>
      <c r="B283" s="1">
        <v>-0.39696496990847302</v>
      </c>
      <c r="C283" s="1">
        <v>1.6096101508353E-2</v>
      </c>
      <c r="D283" s="1">
        <v>26.011310000000002</v>
      </c>
      <c r="E283" s="1">
        <v>18.890899999999998</v>
      </c>
      <c r="F283" s="1">
        <v>1.0024299999999999</v>
      </c>
      <c r="G283" s="1">
        <v>1.0057</v>
      </c>
      <c r="H283" s="1">
        <v>0.379769600638238</v>
      </c>
      <c r="I283" s="1">
        <v>7.6999999999999996E-4</v>
      </c>
      <c r="J283" s="1">
        <v>1447631653</v>
      </c>
      <c r="K283" s="1">
        <v>381010649</v>
      </c>
      <c r="L283" s="1">
        <v>491868243471</v>
      </c>
      <c r="M283" s="1">
        <v>-455035666</v>
      </c>
      <c r="N283" s="1">
        <v>170309748043</v>
      </c>
      <c r="O283" s="1">
        <v>-1717174068</v>
      </c>
      <c r="P283" s="1">
        <v>92918323723</v>
      </c>
      <c r="Q283" s="1">
        <v>67167155665</v>
      </c>
      <c r="R283" s="1">
        <v>66786145016</v>
      </c>
      <c r="S283" s="1">
        <v>7218384483</v>
      </c>
      <c r="T283" s="1">
        <v>-2.3881600000000001</v>
      </c>
      <c r="U283">
        <f t="shared" si="28"/>
        <v>0.17985497444063667</v>
      </c>
      <c r="V283">
        <f t="shared" si="29"/>
        <v>-3.2034859782746294</v>
      </c>
      <c r="W283">
        <f t="shared" si="30"/>
        <v>0.10817747262611832</v>
      </c>
      <c r="X283">
        <f t="shared" si="31"/>
        <v>1</v>
      </c>
      <c r="Y283">
        <f t="shared" si="32"/>
        <v>0</v>
      </c>
      <c r="Z283">
        <f t="shared" si="33"/>
        <v>0</v>
      </c>
      <c r="AA283">
        <f t="shared" si="34"/>
        <v>0</v>
      </c>
    </row>
    <row r="284" spans="1:27" x14ac:dyDescent="0.35">
      <c r="A284" s="1">
        <v>-8.9087384777902692</v>
      </c>
      <c r="B284" s="1">
        <v>-13.0458109523655</v>
      </c>
      <c r="C284" s="1">
        <v>1.5033027504996001E-2</v>
      </c>
      <c r="D284" s="1">
        <v>38.01679</v>
      </c>
      <c r="E284" s="1">
        <v>24.641400000000001</v>
      </c>
      <c r="F284" s="1">
        <v>0.55579999999999996</v>
      </c>
      <c r="G284" s="1">
        <v>2.3233799999999998</v>
      </c>
      <c r="H284" s="1">
        <v>0.28071407232419299</v>
      </c>
      <c r="I284" s="1">
        <v>0.20269000000000001</v>
      </c>
      <c r="J284" s="1">
        <v>30716592287</v>
      </c>
      <c r="K284" s="1">
        <v>104511812407</v>
      </c>
      <c r="L284" s="1">
        <v>515625148593</v>
      </c>
      <c r="M284" s="1">
        <v>-43480301381</v>
      </c>
      <c r="N284" s="1">
        <v>141408786463</v>
      </c>
      <c r="O284" s="1">
        <v>-44877475740</v>
      </c>
      <c r="P284" s="1">
        <v>127057272877</v>
      </c>
      <c r="Q284" s="1">
        <v>183485024787</v>
      </c>
      <c r="R284" s="1">
        <v>78973212380</v>
      </c>
      <c r="S284" s="1">
        <v>7572837937</v>
      </c>
      <c r="T284" s="1">
        <v>-2.3685200000000002</v>
      </c>
      <c r="U284">
        <f t="shared" si="28"/>
        <v>1.8094775282440079E-4</v>
      </c>
      <c r="V284">
        <f t="shared" si="29"/>
        <v>-2.4944886169026925</v>
      </c>
      <c r="W284">
        <f t="shared" si="30"/>
        <v>0.44003870890741742</v>
      </c>
      <c r="X284">
        <f t="shared" si="31"/>
        <v>1</v>
      </c>
      <c r="Y284">
        <f t="shared" si="32"/>
        <v>0</v>
      </c>
      <c r="Z284">
        <f t="shared" si="33"/>
        <v>0</v>
      </c>
      <c r="AA284">
        <f t="shared" si="34"/>
        <v>0</v>
      </c>
    </row>
    <row r="285" spans="1:27" x14ac:dyDescent="0.35">
      <c r="A285" s="1">
        <v>-2.8124836673734102</v>
      </c>
      <c r="B285" s="1">
        <v>-4.1885871590580601</v>
      </c>
      <c r="C285" s="1">
        <v>2.3311995304930999E-2</v>
      </c>
      <c r="D285" s="1">
        <v>35.374429999999997</v>
      </c>
      <c r="E285" s="1">
        <v>23.49605</v>
      </c>
      <c r="F285" s="1">
        <v>0.75255000000000005</v>
      </c>
      <c r="G285" s="1">
        <v>2.6680799999999998</v>
      </c>
      <c r="H285" s="1">
        <v>0.294916435288959</v>
      </c>
      <c r="I285" s="1">
        <v>0.24507999999999999</v>
      </c>
      <c r="J285" s="1">
        <v>-15222472415</v>
      </c>
      <c r="K285" s="1">
        <v>117783489025</v>
      </c>
      <c r="L285" s="1">
        <v>480589845543</v>
      </c>
      <c r="M285" s="1">
        <v>-15786139827</v>
      </c>
      <c r="N285" s="1">
        <v>146900087426</v>
      </c>
      <c r="O285" s="1">
        <v>-14009192001</v>
      </c>
      <c r="P285" s="1">
        <v>112919651918</v>
      </c>
      <c r="Q285" s="1">
        <v>188393544542</v>
      </c>
      <c r="R285" s="1">
        <v>70610055517</v>
      </c>
      <c r="S285" s="1">
        <v>11611879633</v>
      </c>
      <c r="T285" s="1">
        <v>-2.56839</v>
      </c>
      <c r="U285">
        <f t="shared" si="28"/>
        <v>0.30132172831880172</v>
      </c>
      <c r="V285">
        <f t="shared" si="29"/>
        <v>-2.8188775783659263</v>
      </c>
      <c r="W285">
        <f t="shared" si="30"/>
        <v>0.54316393013044006</v>
      </c>
      <c r="X285">
        <f t="shared" si="31"/>
        <v>1</v>
      </c>
      <c r="Y285">
        <f t="shared" si="32"/>
        <v>0</v>
      </c>
      <c r="Z285">
        <f t="shared" si="33"/>
        <v>0</v>
      </c>
      <c r="AA285">
        <f t="shared" si="34"/>
        <v>0</v>
      </c>
    </row>
    <row r="286" spans="1:27" x14ac:dyDescent="0.35">
      <c r="A286" s="1">
        <v>-8.7295911398120403</v>
      </c>
      <c r="B286" s="1">
        <v>-13.543938608853701</v>
      </c>
      <c r="C286" s="1">
        <v>-1.45115665133E-2</v>
      </c>
      <c r="D286" s="1">
        <v>41.260159999999999</v>
      </c>
      <c r="E286" s="1">
        <v>25.419879999999999</v>
      </c>
      <c r="F286" s="1">
        <v>-0.4632</v>
      </c>
      <c r="G286" s="1">
        <v>2.6774499999999999</v>
      </c>
      <c r="H286" s="1">
        <v>0.26021113386319</v>
      </c>
      <c r="I286" s="1">
        <v>0.26949000000000001</v>
      </c>
      <c r="J286" s="1">
        <v>4728344452</v>
      </c>
      <c r="K286" s="1">
        <v>107798706382</v>
      </c>
      <c r="L286" s="1">
        <v>400014977533</v>
      </c>
      <c r="M286" s="1">
        <v>-35505572901</v>
      </c>
      <c r="N286" s="1">
        <v>114571589749</v>
      </c>
      <c r="O286" s="1">
        <v>-38436600306</v>
      </c>
      <c r="P286" s="1">
        <v>101683341795</v>
      </c>
      <c r="Q286" s="1">
        <v>172062336292</v>
      </c>
      <c r="R286" s="1">
        <v>64263629910</v>
      </c>
      <c r="S286" s="1">
        <v>-6389477731</v>
      </c>
      <c r="T286" s="1">
        <v>-3.1792199999999999</v>
      </c>
      <c r="U286">
        <f t="shared" si="28"/>
        <v>-2.1547981358115448E-2</v>
      </c>
      <c r="V286">
        <f t="shared" si="29"/>
        <v>-2.4079612900377882</v>
      </c>
      <c r="W286">
        <f t="shared" si="30"/>
        <v>0.44574318828787235</v>
      </c>
      <c r="X286">
        <f t="shared" si="31"/>
        <v>1</v>
      </c>
      <c r="Y286">
        <f t="shared" si="32"/>
        <v>0</v>
      </c>
      <c r="Z286">
        <f t="shared" si="33"/>
        <v>0</v>
      </c>
      <c r="AA286">
        <f t="shared" si="34"/>
        <v>0</v>
      </c>
    </row>
    <row r="287" spans="1:27" x14ac:dyDescent="0.35">
      <c r="A287" s="1">
        <v>-5.1840271508374203</v>
      </c>
      <c r="B287" s="1">
        <v>-8.0942991957014208</v>
      </c>
      <c r="C287" s="1">
        <v>2.4619879053540999E-2</v>
      </c>
      <c r="D287" s="1">
        <v>42.459299999999999</v>
      </c>
      <c r="E287" s="1">
        <v>25.975259999999999</v>
      </c>
      <c r="F287" s="1">
        <v>0.76615</v>
      </c>
      <c r="G287" s="1">
        <v>2.4234900000000001</v>
      </c>
      <c r="H287" s="1">
        <v>0.31405236889628402</v>
      </c>
      <c r="I287" s="1">
        <v>0.23779</v>
      </c>
      <c r="J287" s="1">
        <v>15075031044</v>
      </c>
      <c r="K287" s="1">
        <v>88832355233</v>
      </c>
      <c r="L287" s="1">
        <v>373572552145</v>
      </c>
      <c r="M287" s="1">
        <v>-21339087426</v>
      </c>
      <c r="N287" s="1">
        <v>121473498122</v>
      </c>
      <c r="O287" s="1">
        <v>-20051493787</v>
      </c>
      <c r="P287" s="1">
        <v>97036450957</v>
      </c>
      <c r="Q287" s="1">
        <v>151236800452</v>
      </c>
      <c r="R287" s="1">
        <v>62404445219</v>
      </c>
      <c r="S287" s="1">
        <v>9522815709</v>
      </c>
      <c r="T287" s="1">
        <v>-3.45703</v>
      </c>
      <c r="U287">
        <f t="shared" si="28"/>
        <v>0.227564218104162</v>
      </c>
      <c r="V287">
        <f t="shared" si="29"/>
        <v>-2.5681787187477711</v>
      </c>
      <c r="W287">
        <f t="shared" si="30"/>
        <v>0.53526914981148022</v>
      </c>
      <c r="X287">
        <f t="shared" si="31"/>
        <v>1</v>
      </c>
      <c r="Y287">
        <f t="shared" si="32"/>
        <v>0</v>
      </c>
      <c r="Z287">
        <f t="shared" si="33"/>
        <v>0</v>
      </c>
      <c r="AA287">
        <f t="shared" si="34"/>
        <v>0</v>
      </c>
    </row>
    <row r="288" spans="1:27" x14ac:dyDescent="0.35">
      <c r="A288" s="1">
        <v>0.170368376035723</v>
      </c>
      <c r="B288" s="1">
        <v>1.03536961322766</v>
      </c>
      <c r="C288" s="1">
        <v>3.4859964917839999E-2</v>
      </c>
      <c r="D288" s="1">
        <v>29.318210000000001</v>
      </c>
      <c r="E288" s="1">
        <v>20.501899999999999</v>
      </c>
      <c r="F288" s="1">
        <v>1.11252</v>
      </c>
      <c r="G288" s="1">
        <v>4.6906800000000004</v>
      </c>
      <c r="H288" s="1">
        <v>0.37094042881010603</v>
      </c>
      <c r="I288" s="1">
        <v>0.32242999999999999</v>
      </c>
      <c r="J288" s="1">
        <v>1824354778</v>
      </c>
      <c r="K288" s="1">
        <v>103429436390</v>
      </c>
      <c r="L288" s="1">
        <v>320777602224</v>
      </c>
      <c r="M288" s="1">
        <v>30063679</v>
      </c>
      <c r="N288" s="1">
        <v>128781272003</v>
      </c>
      <c r="O288" s="1">
        <v>591476541</v>
      </c>
      <c r="P288" s="1">
        <v>65765490772.000008</v>
      </c>
      <c r="Q288" s="1">
        <v>131453924595</v>
      </c>
      <c r="R288" s="1">
        <v>28024488205</v>
      </c>
      <c r="S288" s="1">
        <v>12102511011</v>
      </c>
      <c r="T288" s="1">
        <v>-3.8525999999999998</v>
      </c>
      <c r="U288">
        <f t="shared" si="28"/>
        <v>0.60922787057983352</v>
      </c>
      <c r="V288">
        <f t="shared" si="29"/>
        <v>-3.1209266747037412</v>
      </c>
      <c r="W288">
        <f t="shared" si="30"/>
        <v>0.7174731118404396</v>
      </c>
      <c r="X288">
        <f t="shared" si="31"/>
        <v>1</v>
      </c>
      <c r="Y288">
        <f t="shared" si="32"/>
        <v>0</v>
      </c>
      <c r="Z288">
        <f t="shared" si="33"/>
        <v>0</v>
      </c>
      <c r="AA288">
        <f t="shared" si="34"/>
        <v>0</v>
      </c>
    </row>
    <row r="289" spans="1:27" x14ac:dyDescent="0.35">
      <c r="A289" s="1">
        <v>-0.95866690117534004</v>
      </c>
      <c r="B289" s="1">
        <v>-1.24018939476562</v>
      </c>
      <c r="C289" s="1">
        <v>2.8003628363744999E-2</v>
      </c>
      <c r="D289" s="1">
        <v>34.43159</v>
      </c>
      <c r="E289" s="1">
        <v>22.977450000000001</v>
      </c>
      <c r="F289" s="1">
        <v>1.0143599999999999</v>
      </c>
      <c r="G289" s="1">
        <v>1.5878000000000001</v>
      </c>
      <c r="H289" s="1">
        <v>0.38982803420966999</v>
      </c>
      <c r="I289" s="1">
        <v>8.4440000000000001E-2</v>
      </c>
      <c r="J289" s="1">
        <v>16745659043</v>
      </c>
      <c r="K289" s="1">
        <v>29678154259</v>
      </c>
      <c r="L289" s="1">
        <v>351483053912</v>
      </c>
      <c r="M289" s="1">
        <v>-2021226507</v>
      </c>
      <c r="N289" s="1">
        <v>131033025029</v>
      </c>
      <c r="O289" s="1">
        <v>-3222370200</v>
      </c>
      <c r="P289" s="1">
        <v>80761840197</v>
      </c>
      <c r="Q289" s="1">
        <v>80168401538</v>
      </c>
      <c r="R289" s="1">
        <v>50490247279</v>
      </c>
      <c r="S289" s="1">
        <v>9412868789</v>
      </c>
      <c r="T289" s="1">
        <v>-3.6768299999999998</v>
      </c>
      <c r="U289">
        <f t="shared" si="28"/>
        <v>0.29188501331709804</v>
      </c>
      <c r="V289">
        <f t="shared" si="29"/>
        <v>-2.9426785345110642</v>
      </c>
      <c r="W289">
        <f t="shared" si="30"/>
        <v>0.28733486553856863</v>
      </c>
      <c r="X289">
        <f t="shared" si="31"/>
        <v>1</v>
      </c>
      <c r="Y289">
        <f t="shared" si="32"/>
        <v>0</v>
      </c>
      <c r="Z289">
        <f t="shared" si="33"/>
        <v>0</v>
      </c>
      <c r="AA289">
        <f t="shared" si="34"/>
        <v>0</v>
      </c>
    </row>
    <row r="290" spans="1:27" x14ac:dyDescent="0.35">
      <c r="A290" s="1">
        <v>-5.4503419879329398</v>
      </c>
      <c r="B290" s="1">
        <v>-8.0683230182999406</v>
      </c>
      <c r="C290" s="1">
        <v>-2.6639406931198002E-2</v>
      </c>
      <c r="D290" s="1">
        <v>32.01397</v>
      </c>
      <c r="E290" s="1">
        <v>21.746500000000001</v>
      </c>
      <c r="F290" s="1">
        <v>-1.10694</v>
      </c>
      <c r="G290" s="1">
        <v>1.1712100000000001</v>
      </c>
      <c r="H290" s="1">
        <v>0.26015688201632903</v>
      </c>
      <c r="I290" s="1">
        <v>2.546E-2</v>
      </c>
      <c r="J290" s="1">
        <v>14897770656</v>
      </c>
      <c r="K290" s="1">
        <v>8070889056</v>
      </c>
      <c r="L290">
        <v>317031964534</v>
      </c>
      <c r="M290">
        <v>-18573999754</v>
      </c>
      <c r="N290">
        <v>86959391390</v>
      </c>
      <c r="O290" s="1">
        <v>-18218177373</v>
      </c>
      <c r="P290" s="1">
        <v>68943346191</v>
      </c>
      <c r="Q290">
        <v>55211778498</v>
      </c>
      <c r="R290">
        <v>47140889442</v>
      </c>
      <c r="S290">
        <v>-8904421808</v>
      </c>
      <c r="T290">
        <v>-4.1335800000000003</v>
      </c>
      <c r="U290">
        <f t="shared" si="28"/>
        <v>-0.2103351525036754</v>
      </c>
      <c r="V290">
        <f t="shared" si="29"/>
        <v>-2.7971732631580544</v>
      </c>
      <c r="W290">
        <f t="shared" si="30"/>
        <v>2.478129451687342E-3</v>
      </c>
      <c r="X290">
        <f t="shared" si="31"/>
        <v>1</v>
      </c>
      <c r="Y290">
        <f t="shared" si="32"/>
        <v>0</v>
      </c>
      <c r="Z290">
        <f t="shared" si="33"/>
        <v>1</v>
      </c>
      <c r="AA290">
        <f t="shared" si="34"/>
        <v>1</v>
      </c>
    </row>
    <row r="291" spans="1:27" x14ac:dyDescent="0.35">
      <c r="A291" s="1">
        <v>-4.2667248424850701</v>
      </c>
      <c r="B291" s="1">
        <v>-6.2972833986792498</v>
      </c>
      <c r="C291" s="1">
        <v>-1.7370884796379001E-2</v>
      </c>
      <c r="D291" s="1">
        <v>33.67991</v>
      </c>
      <c r="E291" s="1">
        <v>22.704149999999998</v>
      </c>
      <c r="F291" s="1">
        <v>-0.71238000000000001</v>
      </c>
      <c r="G291" s="1">
        <v>1.0984400000000001</v>
      </c>
      <c r="H291" s="1">
        <v>0.27679463210671601</v>
      </c>
      <c r="I291" s="1">
        <v>1.618E-2</v>
      </c>
      <c r="J291" s="1">
        <v>-831103433</v>
      </c>
      <c r="K291" s="1">
        <v>4878514675</v>
      </c>
      <c r="L291">
        <v>301506104882</v>
      </c>
      <c r="M291">
        <v>-13805617985</v>
      </c>
      <c r="N291">
        <v>85604008684</v>
      </c>
      <c r="O291" s="1">
        <v>-13195658734</v>
      </c>
      <c r="P291" s="1">
        <v>68454404478</v>
      </c>
      <c r="Q291">
        <v>54436318441</v>
      </c>
      <c r="R291">
        <v>49557803766</v>
      </c>
      <c r="S291">
        <v>-5372276773</v>
      </c>
      <c r="T291">
        <v>-4.3907999999999996</v>
      </c>
      <c r="U291">
        <f t="shared" si="28"/>
        <v>-0.10832745766084551</v>
      </c>
      <c r="V291">
        <f t="shared" si="29"/>
        <v>-2.8045234273126343</v>
      </c>
      <c r="W291">
        <f t="shared" si="30"/>
        <v>2.2344610632758721E-2</v>
      </c>
      <c r="X291">
        <f t="shared" si="31"/>
        <v>1</v>
      </c>
      <c r="Y291">
        <f t="shared" si="32"/>
        <v>0</v>
      </c>
      <c r="Z291">
        <f t="shared" si="33"/>
        <v>0</v>
      </c>
      <c r="AA291">
        <f t="shared" si="34"/>
        <v>0</v>
      </c>
    </row>
    <row r="292" spans="1:27" x14ac:dyDescent="0.35">
      <c r="A292" s="1">
        <v>-11.012159118985201</v>
      </c>
      <c r="B292" s="1">
        <v>-16.932417841903401</v>
      </c>
      <c r="C292" s="1">
        <v>-9.2909581166179006E-2</v>
      </c>
      <c r="D292" s="1">
        <v>34.712919999999997</v>
      </c>
      <c r="E292" s="1">
        <v>22.38307</v>
      </c>
      <c r="F292" s="1">
        <v>-3.8729200000000001</v>
      </c>
      <c r="G292" s="1">
        <v>0.46067000000000002</v>
      </c>
      <c r="H292" s="1">
        <v>0.29642462809410902</v>
      </c>
      <c r="I292" s="1">
        <v>-0.14939</v>
      </c>
      <c r="J292" s="1">
        <v>11147330642</v>
      </c>
      <c r="K292" s="1">
        <v>-40022063326</v>
      </c>
      <c r="L292">
        <v>267905168207</v>
      </c>
      <c r="M292">
        <v>-33190508623</v>
      </c>
      <c r="N292">
        <v>84393762429</v>
      </c>
      <c r="O292" s="1">
        <v>-31352237717</v>
      </c>
      <c r="P292" s="1">
        <v>59965401316</v>
      </c>
      <c r="Q292">
        <v>34184789301</v>
      </c>
      <c r="R292">
        <v>74206852627</v>
      </c>
      <c r="S292">
        <v>-26451881447</v>
      </c>
      <c r="T292">
        <v>-5.0584699999999998</v>
      </c>
      <c r="U292">
        <f t="shared" si="28"/>
        <v>-0.62618292821586485</v>
      </c>
      <c r="V292">
        <f t="shared" si="29"/>
        <v>-2.4956991618293842</v>
      </c>
      <c r="W292">
        <f t="shared" si="30"/>
        <v>-0.52746145621191032</v>
      </c>
      <c r="X292">
        <f t="shared" si="31"/>
        <v>1</v>
      </c>
      <c r="Y292">
        <f t="shared" si="32"/>
        <v>0</v>
      </c>
      <c r="Z292">
        <f t="shared" si="33"/>
        <v>1</v>
      </c>
      <c r="AA292">
        <f t="shared" si="34"/>
        <v>1</v>
      </c>
    </row>
    <row r="293" spans="1:27" x14ac:dyDescent="0.35">
      <c r="A293" s="1">
        <v>-3.9829504115651999</v>
      </c>
      <c r="B293" s="1">
        <v>-6.3138857561436899</v>
      </c>
      <c r="C293" s="1">
        <v>1.1325644110519999E-3</v>
      </c>
      <c r="D293" s="1">
        <v>32.043230000000001</v>
      </c>
      <c r="E293" s="1">
        <v>21.308430000000001</v>
      </c>
      <c r="F293" s="1">
        <v>5.0619999999999998E-2</v>
      </c>
      <c r="G293" s="1">
        <v>0.71711999999999998</v>
      </c>
      <c r="H293" s="1">
        <v>0.30213374479335298</v>
      </c>
      <c r="I293" s="1">
        <v>-5.4800000000000001E-2</v>
      </c>
      <c r="J293" s="1">
        <v>253486600</v>
      </c>
      <c r="K293" s="1">
        <v>-13327854489</v>
      </c>
      <c r="L293">
        <v>243227525308</v>
      </c>
      <c r="M293">
        <v>-12385412677</v>
      </c>
      <c r="N293">
        <v>77215217389</v>
      </c>
      <c r="O293" s="1">
        <v>-10179080860</v>
      </c>
      <c r="P293" s="1">
        <v>51827976934</v>
      </c>
      <c r="Q293">
        <v>33787422242</v>
      </c>
      <c r="R293">
        <v>47115276731</v>
      </c>
      <c r="S293">
        <v>289445349</v>
      </c>
      <c r="T293">
        <v>-5.6116799999999998</v>
      </c>
      <c r="U293">
        <f t="shared" si="28"/>
        <v>-9.9299287846106837E-2</v>
      </c>
      <c r="V293">
        <f t="shared" si="29"/>
        <v>-2.8942256016165695</v>
      </c>
      <c r="W293">
        <f t="shared" si="30"/>
        <v>-3.0031898243458154E-2</v>
      </c>
      <c r="X293">
        <f t="shared" si="31"/>
        <v>1</v>
      </c>
      <c r="Y293">
        <f t="shared" si="32"/>
        <v>0</v>
      </c>
      <c r="Z293">
        <f t="shared" si="33"/>
        <v>1</v>
      </c>
      <c r="AA293">
        <f t="shared" si="34"/>
        <v>1</v>
      </c>
    </row>
    <row r="294" spans="1:27" x14ac:dyDescent="0.35">
      <c r="A294" s="1">
        <v>-3.62314987626679</v>
      </c>
      <c r="B294" s="1">
        <v>-4.7053433684437502</v>
      </c>
      <c r="C294" s="1">
        <v>-1.7598853503939998E-2</v>
      </c>
      <c r="D294" s="1">
        <v>33.063459999999999</v>
      </c>
      <c r="E294" s="1">
        <v>21.421119999999998</v>
      </c>
      <c r="F294" s="1">
        <v>-0.91661000000000004</v>
      </c>
      <c r="G294" s="1">
        <v>0.68679000000000001</v>
      </c>
      <c r="H294" s="1">
        <v>0.27497184801825397</v>
      </c>
      <c r="I294" s="1">
        <v>-6.8159999999999998E-2</v>
      </c>
      <c r="J294" s="1">
        <v>2174184001</v>
      </c>
      <c r="K294" s="1">
        <v>-16152533536</v>
      </c>
      <c r="L294">
        <v>236986184756</v>
      </c>
      <c r="M294">
        <v>-9742067989</v>
      </c>
      <c r="N294">
        <v>66022625650</v>
      </c>
      <c r="O294" s="1">
        <v>-8699431221</v>
      </c>
      <c r="P294" s="1">
        <v>50765083984</v>
      </c>
      <c r="Q294">
        <v>35417896656</v>
      </c>
      <c r="R294">
        <v>51570430192</v>
      </c>
      <c r="S294">
        <v>-4225605367</v>
      </c>
      <c r="T294">
        <v>-5.7884700000000002</v>
      </c>
      <c r="U294">
        <f t="shared" si="28"/>
        <v>-0.13818500940460487</v>
      </c>
      <c r="V294">
        <f t="shared" si="29"/>
        <v>-2.9110605747542135</v>
      </c>
      <c r="W294">
        <f t="shared" si="30"/>
        <v>-0.11674359583702078</v>
      </c>
      <c r="X294">
        <f t="shared" si="31"/>
        <v>1</v>
      </c>
      <c r="Y294">
        <f t="shared" si="32"/>
        <v>0</v>
      </c>
      <c r="Z294">
        <f t="shared" si="33"/>
        <v>1</v>
      </c>
      <c r="AA294">
        <f t="shared" si="34"/>
        <v>1</v>
      </c>
    </row>
    <row r="295" spans="1:27" x14ac:dyDescent="0.35">
      <c r="A295" s="1" t="s">
        <v>3</v>
      </c>
      <c r="B295" s="1" t="s">
        <v>3</v>
      </c>
      <c r="C295" s="1" t="s">
        <v>3</v>
      </c>
      <c r="D295" s="1" t="s">
        <v>3</v>
      </c>
      <c r="E295" s="1" t="s">
        <v>3</v>
      </c>
      <c r="F295" s="1" t="s">
        <v>3</v>
      </c>
      <c r="G295" s="1" t="s">
        <v>3</v>
      </c>
      <c r="H295" s="1" t="s">
        <v>3</v>
      </c>
      <c r="I295" s="1" t="s">
        <v>3</v>
      </c>
      <c r="J295" s="1" t="s">
        <v>3</v>
      </c>
      <c r="K295" s="1" t="s">
        <v>3</v>
      </c>
      <c r="L295" s="1" t="s">
        <v>3</v>
      </c>
      <c r="M295" s="1" t="s">
        <v>3</v>
      </c>
      <c r="N295" s="1" t="s">
        <v>3</v>
      </c>
      <c r="O295" s="1" t="s">
        <v>3</v>
      </c>
      <c r="P295" s="1" t="s">
        <v>3</v>
      </c>
      <c r="Q295" s="1" t="s">
        <v>3</v>
      </c>
      <c r="R295" s="1" t="s">
        <v>3</v>
      </c>
      <c r="S295" s="1" t="s">
        <v>3</v>
      </c>
      <c r="T295" s="1" t="s">
        <v>3</v>
      </c>
      <c r="U295" t="e">
        <f t="shared" si="28"/>
        <v>#VALUE!</v>
      </c>
      <c r="V295" t="e">
        <f t="shared" si="29"/>
        <v>#VALUE!</v>
      </c>
      <c r="W295" t="e">
        <f t="shared" si="30"/>
        <v>#VALUE!</v>
      </c>
      <c r="X295" t="e">
        <f t="shared" si="31"/>
        <v>#VALUE!</v>
      </c>
      <c r="Y295" t="e">
        <f t="shared" si="32"/>
        <v>#VALUE!</v>
      </c>
      <c r="Z295" t="e">
        <f t="shared" si="33"/>
        <v>#VALUE!</v>
      </c>
      <c r="AA295" t="e">
        <f t="shared" si="34"/>
        <v>#VALUE!</v>
      </c>
    </row>
    <row r="296" spans="1:27" x14ac:dyDescent="0.35">
      <c r="A296" s="1" t="s">
        <v>3</v>
      </c>
      <c r="B296" s="1" t="s">
        <v>3</v>
      </c>
      <c r="C296" s="1" t="s">
        <v>3</v>
      </c>
      <c r="D296" s="1" t="s">
        <v>3</v>
      </c>
      <c r="E296" s="1" t="s">
        <v>3</v>
      </c>
      <c r="F296" s="1" t="s">
        <v>3</v>
      </c>
      <c r="G296" s="1" t="s">
        <v>3</v>
      </c>
      <c r="H296" s="1" t="s">
        <v>3</v>
      </c>
      <c r="I296" s="1" t="s">
        <v>3</v>
      </c>
      <c r="J296" s="1" t="s">
        <v>3</v>
      </c>
      <c r="K296" s="1" t="s">
        <v>3</v>
      </c>
      <c r="L296" s="1" t="s">
        <v>3</v>
      </c>
      <c r="M296" s="1" t="s">
        <v>3</v>
      </c>
      <c r="N296" s="1" t="s">
        <v>3</v>
      </c>
      <c r="O296" s="1" t="s">
        <v>3</v>
      </c>
      <c r="P296" s="1" t="s">
        <v>3</v>
      </c>
      <c r="Q296" s="1" t="s">
        <v>3</v>
      </c>
      <c r="R296" s="1" t="s">
        <v>3</v>
      </c>
      <c r="S296" s="1" t="s">
        <v>3</v>
      </c>
      <c r="T296" s="1" t="s">
        <v>3</v>
      </c>
      <c r="U296" t="e">
        <f t="shared" si="28"/>
        <v>#VALUE!</v>
      </c>
      <c r="V296" t="e">
        <f t="shared" si="29"/>
        <v>#VALUE!</v>
      </c>
      <c r="W296" t="e">
        <f t="shared" si="30"/>
        <v>#VALUE!</v>
      </c>
      <c r="X296" t="e">
        <f t="shared" si="31"/>
        <v>#VALUE!</v>
      </c>
      <c r="Y296" t="e">
        <f t="shared" si="32"/>
        <v>#VALUE!</v>
      </c>
      <c r="Z296" t="e">
        <f t="shared" si="33"/>
        <v>#VALUE!</v>
      </c>
      <c r="AA296" t="e">
        <f t="shared" si="34"/>
        <v>#VALUE!</v>
      </c>
    </row>
    <row r="297" spans="1:27" x14ac:dyDescent="0.35">
      <c r="A297" s="1" t="s">
        <v>3</v>
      </c>
      <c r="B297" s="1" t="s">
        <v>3</v>
      </c>
      <c r="C297" s="1" t="s">
        <v>3</v>
      </c>
      <c r="D297" s="1" t="s">
        <v>3</v>
      </c>
      <c r="E297" s="1" t="s">
        <v>3</v>
      </c>
      <c r="F297" s="1" t="s">
        <v>3</v>
      </c>
      <c r="G297" s="1" t="s">
        <v>3</v>
      </c>
      <c r="H297" s="1" t="s">
        <v>3</v>
      </c>
      <c r="I297" s="1" t="s">
        <v>3</v>
      </c>
      <c r="J297" s="1" t="s">
        <v>3</v>
      </c>
      <c r="K297" s="1" t="s">
        <v>3</v>
      </c>
      <c r="L297" s="1" t="s">
        <v>3</v>
      </c>
      <c r="M297" s="1" t="s">
        <v>3</v>
      </c>
      <c r="N297" s="1" t="s">
        <v>3</v>
      </c>
      <c r="O297" s="1" t="s">
        <v>3</v>
      </c>
      <c r="P297" s="1" t="s">
        <v>3</v>
      </c>
      <c r="Q297" s="1" t="s">
        <v>3</v>
      </c>
      <c r="R297" s="1" t="s">
        <v>3</v>
      </c>
      <c r="S297" s="1" t="s">
        <v>3</v>
      </c>
      <c r="T297" s="1" t="s">
        <v>3</v>
      </c>
      <c r="U297" t="e">
        <f t="shared" si="28"/>
        <v>#VALUE!</v>
      </c>
      <c r="V297" t="e">
        <f t="shared" si="29"/>
        <v>#VALUE!</v>
      </c>
      <c r="W297" t="e">
        <f t="shared" si="30"/>
        <v>#VALUE!</v>
      </c>
      <c r="X297" t="e">
        <f t="shared" si="31"/>
        <v>#VALUE!</v>
      </c>
      <c r="Y297" t="e">
        <f t="shared" si="32"/>
        <v>#VALUE!</v>
      </c>
      <c r="Z297" t="e">
        <f t="shared" si="33"/>
        <v>#VALUE!</v>
      </c>
      <c r="AA297" t="e">
        <f t="shared" si="34"/>
        <v>#VALUE!</v>
      </c>
    </row>
    <row r="298" spans="1:27" x14ac:dyDescent="0.35">
      <c r="A298" s="1" t="s">
        <v>3</v>
      </c>
      <c r="B298" s="1" t="s">
        <v>3</v>
      </c>
      <c r="C298" s="1" t="s">
        <v>3</v>
      </c>
      <c r="D298" s="1" t="s">
        <v>3</v>
      </c>
      <c r="E298" s="1" t="s">
        <v>3</v>
      </c>
      <c r="F298" s="1" t="s">
        <v>3</v>
      </c>
      <c r="G298" s="1" t="s">
        <v>3</v>
      </c>
      <c r="H298" s="1" t="s">
        <v>3</v>
      </c>
      <c r="I298" s="1" t="s">
        <v>3</v>
      </c>
      <c r="J298" s="1" t="s">
        <v>3</v>
      </c>
      <c r="K298" s="1" t="s">
        <v>3</v>
      </c>
      <c r="L298" s="1" t="s">
        <v>3</v>
      </c>
      <c r="M298" s="1" t="s">
        <v>3</v>
      </c>
      <c r="N298" s="1" t="s">
        <v>3</v>
      </c>
      <c r="O298" s="1" t="s">
        <v>3</v>
      </c>
      <c r="P298" s="1" t="s">
        <v>3</v>
      </c>
      <c r="Q298" s="1" t="s">
        <v>3</v>
      </c>
      <c r="R298" s="1" t="s">
        <v>3</v>
      </c>
      <c r="S298" s="1" t="s">
        <v>3</v>
      </c>
      <c r="T298" s="1" t="s">
        <v>3</v>
      </c>
      <c r="U298" t="e">
        <f t="shared" si="28"/>
        <v>#VALUE!</v>
      </c>
      <c r="V298" t="e">
        <f t="shared" si="29"/>
        <v>#VALUE!</v>
      </c>
      <c r="W298" t="e">
        <f t="shared" si="30"/>
        <v>#VALUE!</v>
      </c>
      <c r="X298" t="e">
        <f t="shared" si="31"/>
        <v>#VALUE!</v>
      </c>
      <c r="Y298" t="e">
        <f t="shared" si="32"/>
        <v>#VALUE!</v>
      </c>
      <c r="Z298" t="e">
        <f t="shared" si="33"/>
        <v>#VALUE!</v>
      </c>
      <c r="AA298" t="e">
        <f t="shared" si="34"/>
        <v>#VALUE!</v>
      </c>
    </row>
    <row r="299" spans="1:27" x14ac:dyDescent="0.35">
      <c r="A299" s="1" t="s">
        <v>3</v>
      </c>
      <c r="B299" s="1" t="s">
        <v>3</v>
      </c>
      <c r="C299" s="1" t="s">
        <v>3</v>
      </c>
      <c r="D299" s="1" t="s">
        <v>3</v>
      </c>
      <c r="E299" s="1" t="s">
        <v>3</v>
      </c>
      <c r="F299" s="1" t="s">
        <v>3</v>
      </c>
      <c r="G299" s="1" t="s">
        <v>3</v>
      </c>
      <c r="H299" s="1" t="s">
        <v>3</v>
      </c>
      <c r="I299" s="1" t="s">
        <v>3</v>
      </c>
      <c r="J299" s="1" t="s">
        <v>3</v>
      </c>
      <c r="K299" s="1" t="s">
        <v>3</v>
      </c>
      <c r="L299" s="1" t="s">
        <v>3</v>
      </c>
      <c r="M299" s="1" t="s">
        <v>3</v>
      </c>
      <c r="N299" s="1" t="s">
        <v>3</v>
      </c>
      <c r="O299" s="1" t="s">
        <v>3</v>
      </c>
      <c r="P299" s="1" t="s">
        <v>3</v>
      </c>
      <c r="Q299" s="1" t="s">
        <v>3</v>
      </c>
      <c r="R299" s="1" t="s">
        <v>3</v>
      </c>
      <c r="S299" s="1" t="s">
        <v>3</v>
      </c>
      <c r="T299" s="1" t="s">
        <v>3</v>
      </c>
      <c r="U299" t="e">
        <f t="shared" si="28"/>
        <v>#VALUE!</v>
      </c>
      <c r="V299" t="e">
        <f t="shared" si="29"/>
        <v>#VALUE!</v>
      </c>
      <c r="W299" t="e">
        <f t="shared" si="30"/>
        <v>#VALUE!</v>
      </c>
      <c r="X299" t="e">
        <f t="shared" si="31"/>
        <v>#VALUE!</v>
      </c>
      <c r="Y299" t="e">
        <f t="shared" si="32"/>
        <v>#VALUE!</v>
      </c>
      <c r="Z299" t="e">
        <f t="shared" si="33"/>
        <v>#VALUE!</v>
      </c>
      <c r="AA299" t="e">
        <f t="shared" si="34"/>
        <v>#VALUE!</v>
      </c>
    </row>
    <row r="300" spans="1:27" x14ac:dyDescent="0.35">
      <c r="A300" s="1" t="s">
        <v>3</v>
      </c>
      <c r="B300" s="1" t="s">
        <v>3</v>
      </c>
      <c r="C300" s="1" t="s">
        <v>3</v>
      </c>
      <c r="D300" s="1" t="s">
        <v>3</v>
      </c>
      <c r="E300" s="1" t="s">
        <v>3</v>
      </c>
      <c r="F300" s="1" t="s">
        <v>3</v>
      </c>
      <c r="G300" s="1" t="s">
        <v>3</v>
      </c>
      <c r="H300" s="1" t="s">
        <v>3</v>
      </c>
      <c r="I300" s="1" t="s">
        <v>3</v>
      </c>
      <c r="J300" s="1" t="s">
        <v>3</v>
      </c>
      <c r="K300" s="1" t="s">
        <v>3</v>
      </c>
      <c r="L300" s="1" t="s">
        <v>3</v>
      </c>
      <c r="M300" s="1" t="s">
        <v>3</v>
      </c>
      <c r="N300" s="1" t="s">
        <v>3</v>
      </c>
      <c r="O300" s="1" t="s">
        <v>3</v>
      </c>
      <c r="P300" s="1" t="s">
        <v>3</v>
      </c>
      <c r="Q300" s="1" t="s">
        <v>3</v>
      </c>
      <c r="R300" s="1" t="s">
        <v>3</v>
      </c>
      <c r="S300" s="1" t="s">
        <v>3</v>
      </c>
      <c r="T300" s="1" t="s">
        <v>3</v>
      </c>
      <c r="U300" t="e">
        <f t="shared" si="28"/>
        <v>#VALUE!</v>
      </c>
      <c r="V300" t="e">
        <f t="shared" si="29"/>
        <v>#VALUE!</v>
      </c>
      <c r="W300" t="e">
        <f t="shared" si="30"/>
        <v>#VALUE!</v>
      </c>
      <c r="X300" t="e">
        <f t="shared" si="31"/>
        <v>#VALUE!</v>
      </c>
      <c r="Y300" t="e">
        <f t="shared" si="32"/>
        <v>#VALUE!</v>
      </c>
      <c r="Z300" t="e">
        <f t="shared" si="33"/>
        <v>#VALUE!</v>
      </c>
      <c r="AA300" t="e">
        <f t="shared" si="34"/>
        <v>#VALUE!</v>
      </c>
    </row>
    <row r="301" spans="1:27" x14ac:dyDescent="0.35">
      <c r="A301" s="1" t="s">
        <v>3</v>
      </c>
      <c r="B301" s="1" t="s">
        <v>3</v>
      </c>
      <c r="C301" s="1" t="s">
        <v>3</v>
      </c>
      <c r="D301" s="1" t="s">
        <v>3</v>
      </c>
      <c r="E301" s="1" t="s">
        <v>3</v>
      </c>
      <c r="F301" s="1" t="s">
        <v>3</v>
      </c>
      <c r="G301" s="1" t="s">
        <v>3</v>
      </c>
      <c r="H301" s="1" t="s">
        <v>3</v>
      </c>
      <c r="I301" s="1" t="s">
        <v>3</v>
      </c>
      <c r="J301" s="1" t="s">
        <v>3</v>
      </c>
      <c r="K301" s="1" t="s">
        <v>3</v>
      </c>
      <c r="L301" s="1" t="s">
        <v>3</v>
      </c>
      <c r="M301" s="1" t="s">
        <v>3</v>
      </c>
      <c r="N301" s="1" t="s">
        <v>3</v>
      </c>
      <c r="O301" s="1" t="s">
        <v>3</v>
      </c>
      <c r="P301" s="1" t="s">
        <v>3</v>
      </c>
      <c r="Q301" s="1" t="s">
        <v>3</v>
      </c>
      <c r="R301" s="1" t="s">
        <v>3</v>
      </c>
      <c r="S301" s="1" t="s">
        <v>3</v>
      </c>
      <c r="T301" s="1" t="s">
        <v>3</v>
      </c>
      <c r="U301" t="e">
        <f t="shared" si="28"/>
        <v>#VALUE!</v>
      </c>
      <c r="V301" t="e">
        <f t="shared" si="29"/>
        <v>#VALUE!</v>
      </c>
      <c r="W301" t="e">
        <f t="shared" si="30"/>
        <v>#VALUE!</v>
      </c>
      <c r="X301" t="e">
        <f t="shared" si="31"/>
        <v>#VALUE!</v>
      </c>
      <c r="Y301" t="e">
        <f t="shared" si="32"/>
        <v>#VALUE!</v>
      </c>
      <c r="Z301" t="e">
        <f t="shared" si="33"/>
        <v>#VALUE!</v>
      </c>
      <c r="AA301" t="e">
        <f t="shared" si="34"/>
        <v>#VALUE!</v>
      </c>
    </row>
    <row r="302" spans="1:27" x14ac:dyDescent="0.35">
      <c r="A302" s="1" t="s">
        <v>3</v>
      </c>
      <c r="B302" s="1" t="s">
        <v>3</v>
      </c>
      <c r="C302" s="1" t="s">
        <v>3</v>
      </c>
      <c r="D302" s="1" t="s">
        <v>3</v>
      </c>
      <c r="E302" s="1" t="s">
        <v>3</v>
      </c>
      <c r="F302" s="1" t="s">
        <v>3</v>
      </c>
      <c r="G302" s="1" t="s">
        <v>3</v>
      </c>
      <c r="H302" s="1" t="s">
        <v>3</v>
      </c>
      <c r="I302" s="1" t="s">
        <v>3</v>
      </c>
      <c r="J302" s="1" t="s">
        <v>3</v>
      </c>
      <c r="K302" s="1" t="s">
        <v>3</v>
      </c>
      <c r="L302" s="1" t="s">
        <v>3</v>
      </c>
      <c r="M302" s="1" t="s">
        <v>3</v>
      </c>
      <c r="N302" s="1" t="s">
        <v>3</v>
      </c>
      <c r="O302" s="1" t="s">
        <v>3</v>
      </c>
      <c r="P302" s="1" t="s">
        <v>3</v>
      </c>
      <c r="Q302" s="1" t="s">
        <v>3</v>
      </c>
      <c r="R302" s="1" t="s">
        <v>3</v>
      </c>
      <c r="S302" s="1" t="s">
        <v>3</v>
      </c>
      <c r="T302" s="1" t="s">
        <v>3</v>
      </c>
      <c r="U302" t="e">
        <f t="shared" si="28"/>
        <v>#VALUE!</v>
      </c>
      <c r="V302" t="e">
        <f t="shared" si="29"/>
        <v>#VALUE!</v>
      </c>
      <c r="W302" t="e">
        <f t="shared" si="30"/>
        <v>#VALUE!</v>
      </c>
      <c r="X302" t="e">
        <f t="shared" si="31"/>
        <v>#VALUE!</v>
      </c>
      <c r="Y302" t="e">
        <f t="shared" si="32"/>
        <v>#VALUE!</v>
      </c>
      <c r="Z302" t="e">
        <f t="shared" si="33"/>
        <v>#VALUE!</v>
      </c>
      <c r="AA302" t="e">
        <f t="shared" si="34"/>
        <v>#VALUE!</v>
      </c>
    </row>
    <row r="303" spans="1:27" x14ac:dyDescent="0.35">
      <c r="A303" s="1" t="s">
        <v>3</v>
      </c>
      <c r="B303" s="1" t="s">
        <v>3</v>
      </c>
      <c r="C303" s="1" t="s">
        <v>3</v>
      </c>
      <c r="D303" s="1" t="s">
        <v>3</v>
      </c>
      <c r="E303" s="1" t="s">
        <v>3</v>
      </c>
      <c r="F303" s="1" t="s">
        <v>3</v>
      </c>
      <c r="G303" s="1" t="s">
        <v>3</v>
      </c>
      <c r="H303" s="1" t="s">
        <v>3</v>
      </c>
      <c r="I303" s="1" t="s">
        <v>3</v>
      </c>
      <c r="J303" s="1" t="s">
        <v>3</v>
      </c>
      <c r="K303" s="1" t="s">
        <v>3</v>
      </c>
      <c r="L303" s="1" t="s">
        <v>3</v>
      </c>
      <c r="M303" s="1" t="s">
        <v>3</v>
      </c>
      <c r="N303" s="1" t="s">
        <v>3</v>
      </c>
      <c r="O303" s="1" t="s">
        <v>3</v>
      </c>
      <c r="P303" s="1" t="s">
        <v>3</v>
      </c>
      <c r="Q303" s="1" t="s">
        <v>3</v>
      </c>
      <c r="R303" s="1" t="s">
        <v>3</v>
      </c>
      <c r="S303" s="1" t="s">
        <v>3</v>
      </c>
      <c r="T303" s="1" t="s">
        <v>3</v>
      </c>
      <c r="U303" t="e">
        <f t="shared" si="28"/>
        <v>#VALUE!</v>
      </c>
      <c r="V303" t="e">
        <f t="shared" si="29"/>
        <v>#VALUE!</v>
      </c>
      <c r="W303" t="e">
        <f t="shared" si="30"/>
        <v>#VALUE!</v>
      </c>
      <c r="X303" t="e">
        <f t="shared" si="31"/>
        <v>#VALUE!</v>
      </c>
      <c r="Y303" t="e">
        <f t="shared" si="32"/>
        <v>#VALUE!</v>
      </c>
      <c r="Z303" t="e">
        <f t="shared" si="33"/>
        <v>#VALUE!</v>
      </c>
      <c r="AA303" t="e">
        <f t="shared" si="34"/>
        <v>#VALUE!</v>
      </c>
    </row>
    <row r="304" spans="1:27" x14ac:dyDescent="0.35">
      <c r="A304" s="1" t="s">
        <v>3</v>
      </c>
      <c r="B304" s="1" t="s">
        <v>3</v>
      </c>
      <c r="C304" s="1" t="s">
        <v>3</v>
      </c>
      <c r="D304" s="1" t="s">
        <v>3</v>
      </c>
      <c r="E304" s="1" t="s">
        <v>3</v>
      </c>
      <c r="F304" s="1" t="s">
        <v>3</v>
      </c>
      <c r="G304" s="1" t="s">
        <v>3</v>
      </c>
      <c r="H304" s="1" t="s">
        <v>3</v>
      </c>
      <c r="I304" s="1" t="s">
        <v>3</v>
      </c>
      <c r="J304" s="1" t="s">
        <v>3</v>
      </c>
      <c r="K304" s="1" t="s">
        <v>3</v>
      </c>
      <c r="L304" s="1" t="s">
        <v>3</v>
      </c>
      <c r="M304" s="1" t="s">
        <v>3</v>
      </c>
      <c r="N304" s="1" t="s">
        <v>3</v>
      </c>
      <c r="O304" s="1" t="s">
        <v>3</v>
      </c>
      <c r="P304" s="1" t="s">
        <v>3</v>
      </c>
      <c r="Q304" s="1" t="s">
        <v>3</v>
      </c>
      <c r="R304" s="1" t="s">
        <v>3</v>
      </c>
      <c r="S304" s="1" t="s">
        <v>3</v>
      </c>
      <c r="T304" s="1" t="s">
        <v>3</v>
      </c>
      <c r="U304" t="e">
        <f t="shared" si="28"/>
        <v>#VALUE!</v>
      </c>
      <c r="V304" t="e">
        <f t="shared" si="29"/>
        <v>#VALUE!</v>
      </c>
      <c r="W304" t="e">
        <f t="shared" si="30"/>
        <v>#VALUE!</v>
      </c>
      <c r="X304" t="e">
        <f t="shared" si="31"/>
        <v>#VALUE!</v>
      </c>
      <c r="Y304" t="e">
        <f t="shared" si="32"/>
        <v>#VALUE!</v>
      </c>
      <c r="Z304" t="e">
        <f t="shared" si="33"/>
        <v>#VALUE!</v>
      </c>
      <c r="AA304" t="e">
        <f t="shared" si="34"/>
        <v>#VALUE!</v>
      </c>
    </row>
    <row r="305" spans="1:27" x14ac:dyDescent="0.35">
      <c r="A305" s="1" t="s">
        <v>3</v>
      </c>
      <c r="B305" s="1" t="s">
        <v>3</v>
      </c>
      <c r="C305" s="1" t="s">
        <v>3</v>
      </c>
      <c r="D305" s="1">
        <v>29.72336</v>
      </c>
      <c r="E305" s="1">
        <v>11.22617</v>
      </c>
      <c r="F305" s="1">
        <v>10.85051</v>
      </c>
      <c r="G305" s="1">
        <v>2.0842999999999998</v>
      </c>
      <c r="H305" s="1" t="s">
        <v>3</v>
      </c>
      <c r="I305" s="1">
        <v>0.44030999999999998</v>
      </c>
      <c r="J305" s="1">
        <v>3331423215</v>
      </c>
      <c r="K305" s="1">
        <v>1202335216070</v>
      </c>
      <c r="L305" s="1">
        <v>2730632055931</v>
      </c>
      <c r="M305" s="1">
        <v>131040430717</v>
      </c>
      <c r="N305" s="1">
        <v>554971556685</v>
      </c>
      <c r="O305" s="1">
        <v>106120564723</v>
      </c>
      <c r="P305" s="1">
        <v>306545454548</v>
      </c>
      <c r="Q305" s="1">
        <v>2311194824645</v>
      </c>
      <c r="R305" s="1">
        <v>1108859608575</v>
      </c>
      <c r="S305" s="1">
        <v>138309352262</v>
      </c>
      <c r="T305" s="1">
        <v>4.326E-2</v>
      </c>
      <c r="U305">
        <f t="shared" si="28"/>
        <v>0.76831375099585664</v>
      </c>
      <c r="V305">
        <f t="shared" si="29"/>
        <v>-3.8266545120743571</v>
      </c>
      <c r="W305">
        <f t="shared" si="30"/>
        <v>0.95655586118446467</v>
      </c>
      <c r="X305">
        <f t="shared" si="31"/>
        <v>1</v>
      </c>
      <c r="Y305">
        <f t="shared" si="32"/>
        <v>0</v>
      </c>
      <c r="Z305">
        <f t="shared" si="33"/>
        <v>0</v>
      </c>
      <c r="AA305">
        <f t="shared" si="34"/>
        <v>0</v>
      </c>
    </row>
    <row r="306" spans="1:27" x14ac:dyDescent="0.35">
      <c r="A306" s="1">
        <v>7.4619609932106998</v>
      </c>
      <c r="B306" s="1">
        <v>16.933040390775801</v>
      </c>
      <c r="C306" s="1">
        <v>9.5781271834338003E-2</v>
      </c>
      <c r="D306" s="1">
        <v>13.87956</v>
      </c>
      <c r="E306" s="1">
        <v>6.5695199999999998</v>
      </c>
      <c r="F306" s="1">
        <v>11.390549999999999</v>
      </c>
      <c r="G306" s="1">
        <v>2.5985</v>
      </c>
      <c r="H306" s="1">
        <v>0.37397495819305698</v>
      </c>
      <c r="I306" s="1">
        <v>0.36856</v>
      </c>
      <c r="J306" s="1">
        <v>-17172621953</v>
      </c>
      <c r="K306" s="1">
        <v>1960331710830</v>
      </c>
      <c r="L306" s="1">
        <v>5318956732653</v>
      </c>
      <c r="M306" s="1">
        <v>372737911973</v>
      </c>
      <c r="N306" s="1">
        <v>1505172315341</v>
      </c>
      <c r="O306" s="1">
        <v>300328587759</v>
      </c>
      <c r="P306" s="1">
        <v>349429877024</v>
      </c>
      <c r="Q306" s="1">
        <v>3186685729922</v>
      </c>
      <c r="R306" s="1">
        <v>1226354019092</v>
      </c>
      <c r="S306" s="1">
        <v>385499925957</v>
      </c>
      <c r="T306" s="1">
        <v>7.8670000000000004E-2</v>
      </c>
      <c r="U306">
        <f t="shared" si="28"/>
        <v>0.91590890580646644</v>
      </c>
      <c r="V306">
        <f t="shared" si="29"/>
        <v>-4.1692305636552396</v>
      </c>
      <c r="W306">
        <f t="shared" si="30"/>
        <v>0.91273065490251104</v>
      </c>
      <c r="X306">
        <f t="shared" si="31"/>
        <v>0</v>
      </c>
      <c r="Y306">
        <f t="shared" si="32"/>
        <v>0</v>
      </c>
      <c r="Z306">
        <f t="shared" si="33"/>
        <v>0</v>
      </c>
      <c r="AA306">
        <f t="shared" si="34"/>
        <v>0</v>
      </c>
    </row>
    <row r="307" spans="1:27" x14ac:dyDescent="0.35">
      <c r="A307" s="1">
        <v>5.1677242434959796</v>
      </c>
      <c r="B307" s="1">
        <v>13.659288861014</v>
      </c>
      <c r="C307" s="1">
        <v>7.1706936839213004E-2</v>
      </c>
      <c r="D307" s="1">
        <v>69.610579999999999</v>
      </c>
      <c r="E307" s="1">
        <v>23.530080000000002</v>
      </c>
      <c r="F307" s="1">
        <v>8.9164700000000003</v>
      </c>
      <c r="G307" s="1">
        <v>1.9934799999999999</v>
      </c>
      <c r="H307" s="1">
        <v>0.30349253270346899</v>
      </c>
      <c r="I307" s="1">
        <v>0.31191999999999998</v>
      </c>
      <c r="J307" s="1">
        <v>-185007725446</v>
      </c>
      <c r="K307" s="1">
        <v>2760403804973</v>
      </c>
      <c r="L307" s="1">
        <v>8849833866256</v>
      </c>
      <c r="M307" s="1">
        <v>461340375315</v>
      </c>
      <c r="N307" s="1">
        <v>2150061072104</v>
      </c>
      <c r="O307" s="1">
        <v>366102013395</v>
      </c>
      <c r="P307" s="1">
        <v>2082373278974</v>
      </c>
      <c r="Q307" s="1">
        <v>5538915570503</v>
      </c>
      <c r="R307" s="1">
        <v>2778511765530</v>
      </c>
      <c r="S307" s="1">
        <v>508000286282</v>
      </c>
      <c r="T307" s="1">
        <v>8.1869999999999998E-2</v>
      </c>
      <c r="U307">
        <f t="shared" si="28"/>
        <v>0.70426348547338413</v>
      </c>
      <c r="V307">
        <f t="shared" si="29"/>
        <v>-3.1369683822549268</v>
      </c>
      <c r="W307">
        <f t="shared" si="30"/>
        <v>0.7677203344128577</v>
      </c>
      <c r="X307">
        <f t="shared" si="31"/>
        <v>1</v>
      </c>
      <c r="Y307">
        <f t="shared" si="32"/>
        <v>0</v>
      </c>
      <c r="Z307">
        <f t="shared" si="33"/>
        <v>0</v>
      </c>
      <c r="AA307">
        <f t="shared" si="34"/>
        <v>0</v>
      </c>
    </row>
    <row r="308" spans="1:27" x14ac:dyDescent="0.35">
      <c r="A308" s="1">
        <v>4.2937679222518597</v>
      </c>
      <c r="B308" s="1">
        <v>11.6612048979741</v>
      </c>
      <c r="C308" s="1">
        <v>5.2657770221219001E-2</v>
      </c>
      <c r="D308" s="1">
        <v>71.322940000000003</v>
      </c>
      <c r="E308" s="1">
        <v>28.393660000000001</v>
      </c>
      <c r="F308" s="1">
        <v>8.6788500000000006</v>
      </c>
      <c r="G308" s="1">
        <v>2.0931000000000002</v>
      </c>
      <c r="H308" s="1">
        <v>0.25305097134265703</v>
      </c>
      <c r="I308" s="1">
        <v>0.29548000000000002</v>
      </c>
      <c r="J308" s="1">
        <v>67549078307</v>
      </c>
      <c r="K308" s="1">
        <v>3711149379707</v>
      </c>
      <c r="L308" s="1">
        <v>12559932322129</v>
      </c>
      <c r="M308" s="1">
        <v>538590578252</v>
      </c>
      <c r="N308" s="1">
        <v>2708881065095</v>
      </c>
      <c r="O308" s="1">
        <v>459642836413</v>
      </c>
      <c r="P308" s="1">
        <v>3566224481698</v>
      </c>
      <c r="Q308" s="1">
        <v>7106225520311</v>
      </c>
      <c r="R308" s="1">
        <v>3395076140604</v>
      </c>
      <c r="S308" s="1">
        <v>563695274219</v>
      </c>
      <c r="T308" s="1">
        <v>8.727E-2</v>
      </c>
      <c r="U308">
        <f t="shared" si="28"/>
        <v>0.63309460053348632</v>
      </c>
      <c r="V308">
        <f t="shared" si="29"/>
        <v>-2.837870828867227</v>
      </c>
      <c r="W308">
        <f t="shared" si="30"/>
        <v>0.6978927428023094</v>
      </c>
      <c r="X308">
        <f t="shared" si="31"/>
        <v>1</v>
      </c>
      <c r="Y308">
        <f t="shared" si="32"/>
        <v>0</v>
      </c>
      <c r="Z308">
        <f t="shared" si="33"/>
        <v>0</v>
      </c>
      <c r="AA308">
        <f t="shared" si="34"/>
        <v>0</v>
      </c>
    </row>
    <row r="309" spans="1:27" x14ac:dyDescent="0.35">
      <c r="A309" s="1">
        <v>3.5254599133348199</v>
      </c>
      <c r="B309" s="1">
        <v>10.9550895468685</v>
      </c>
      <c r="C309" s="1">
        <v>3.6520382595910998E-2</v>
      </c>
      <c r="D309" s="1">
        <v>125.65131</v>
      </c>
      <c r="E309" s="1">
        <v>34.811540000000001</v>
      </c>
      <c r="F309" s="1">
        <v>8.1677300000000006</v>
      </c>
      <c r="G309" s="1">
        <v>1.51179</v>
      </c>
      <c r="H309" s="1">
        <v>0.181400767946129</v>
      </c>
      <c r="I309" s="1">
        <v>0.20713000000000001</v>
      </c>
      <c r="J309" s="1">
        <v>-25216854315</v>
      </c>
      <c r="K309" s="1">
        <v>3235873825030</v>
      </c>
      <c r="L309" s="1">
        <v>15622688330680</v>
      </c>
      <c r="M309" s="1">
        <v>565767874248</v>
      </c>
      <c r="N309" s="1">
        <v>2556174514577</v>
      </c>
      <c r="O309" s="1">
        <v>496783496820</v>
      </c>
      <c r="P309" s="1">
        <v>5438499032002</v>
      </c>
      <c r="Q309" s="1">
        <v>9558541212460</v>
      </c>
      <c r="R309" s="1">
        <v>6322667387430</v>
      </c>
      <c r="S309" s="1">
        <v>514620044398</v>
      </c>
      <c r="T309" s="1">
        <v>1.7700000000000001E-3</v>
      </c>
      <c r="U309">
        <f t="shared" si="28"/>
        <v>0.43897405181014715</v>
      </c>
      <c r="V309">
        <f t="shared" si="29"/>
        <v>-2.4527896485445377</v>
      </c>
      <c r="W309">
        <f t="shared" si="30"/>
        <v>0.51139727325536566</v>
      </c>
      <c r="X309">
        <f t="shared" si="31"/>
        <v>1</v>
      </c>
      <c r="Y309">
        <f t="shared" si="32"/>
        <v>0</v>
      </c>
      <c r="Z309">
        <f t="shared" si="33"/>
        <v>0</v>
      </c>
      <c r="AA309">
        <f t="shared" si="34"/>
        <v>0</v>
      </c>
    </row>
    <row r="310" spans="1:27" x14ac:dyDescent="0.35">
      <c r="A310" s="1">
        <v>1.47493476142409</v>
      </c>
      <c r="B310" s="1">
        <v>6.4623366866771601</v>
      </c>
      <c r="C310" s="1">
        <v>2.1749820967205E-2</v>
      </c>
      <c r="D310" s="1">
        <v>163.60406</v>
      </c>
      <c r="E310" s="1">
        <v>40.408050000000003</v>
      </c>
      <c r="F310" s="1">
        <v>4.9522899999999996</v>
      </c>
      <c r="G310" s="1">
        <v>1.3868400000000001</v>
      </c>
      <c r="H310" s="1">
        <v>9.6876215525247E-2</v>
      </c>
      <c r="I310" s="1">
        <v>0.1416</v>
      </c>
      <c r="J310" s="1">
        <v>-199672713724</v>
      </c>
      <c r="K310" s="1">
        <v>2535756691570</v>
      </c>
      <c r="L310">
        <v>17908132088285</v>
      </c>
      <c r="M310">
        <v>286080773300</v>
      </c>
      <c r="N310">
        <v>1624169492823</v>
      </c>
      <c r="O310" s="1">
        <v>247278863075</v>
      </c>
      <c r="P310" s="1">
        <v>7236327509824</v>
      </c>
      <c r="Q310">
        <v>9090751139534</v>
      </c>
      <c r="R310">
        <v>6554994447964</v>
      </c>
      <c r="S310">
        <v>364644670498</v>
      </c>
      <c r="T310">
        <v>7.5100000000000002E-3</v>
      </c>
      <c r="U310">
        <f t="shared" si="28"/>
        <v>0.27343952011108996</v>
      </c>
      <c r="V310">
        <f t="shared" si="29"/>
        <v>-2.0533304519514215</v>
      </c>
      <c r="W310">
        <f t="shared" si="30"/>
        <v>0.36016983560929433</v>
      </c>
      <c r="X310">
        <f t="shared" si="31"/>
        <v>1</v>
      </c>
      <c r="Y310">
        <f t="shared" si="32"/>
        <v>0</v>
      </c>
      <c r="Z310">
        <f t="shared" si="33"/>
        <v>0</v>
      </c>
      <c r="AA310">
        <f t="shared" si="34"/>
        <v>0</v>
      </c>
    </row>
    <row r="311" spans="1:27" x14ac:dyDescent="0.35">
      <c r="A311">
        <v>0.69493206256943196</v>
      </c>
      <c r="B311" s="1">
        <v>2.7950359075531299</v>
      </c>
      <c r="C311">
        <v>1.7770116174590001E-2</v>
      </c>
      <c r="D311">
        <v>145.37732</v>
      </c>
      <c r="E311">
        <v>34.991419999999998</v>
      </c>
      <c r="F311">
        <v>3.2415500000000002</v>
      </c>
      <c r="G311">
        <v>1.3925099999999999</v>
      </c>
      <c r="H311">
        <v>0.114008795097227</v>
      </c>
      <c r="I311">
        <v>0.12853000000000001</v>
      </c>
      <c r="J311">
        <v>-486489881177</v>
      </c>
      <c r="K311" s="1">
        <v>2377405252070</v>
      </c>
      <c r="L311">
        <v>18496821048659</v>
      </c>
      <c r="M311">
        <v>180271732381</v>
      </c>
      <c r="N311">
        <v>2075242421357</v>
      </c>
      <c r="O311" s="1">
        <v>126494845856</v>
      </c>
      <c r="P311" s="1">
        <v>6472299531673</v>
      </c>
      <c r="Q311">
        <v>8434403104119</v>
      </c>
      <c r="R311">
        <v>6056997852049</v>
      </c>
      <c r="S311">
        <v>323460123287</v>
      </c>
      <c r="T311">
        <v>8.0199999999999994E-3</v>
      </c>
      <c r="U311">
        <f t="shared" si="28"/>
        <v>0.25059361807796632</v>
      </c>
      <c r="V311">
        <f t="shared" si="29"/>
        <v>-2.3306935915111491</v>
      </c>
      <c r="W311">
        <f t="shared" si="30"/>
        <v>0.32871160005802774</v>
      </c>
      <c r="X311">
        <f t="shared" si="31"/>
        <v>1</v>
      </c>
      <c r="Y311">
        <f t="shared" si="32"/>
        <v>0</v>
      </c>
      <c r="Z311">
        <f t="shared" si="33"/>
        <v>0</v>
      </c>
      <c r="AA311">
        <f t="shared" si="34"/>
        <v>0</v>
      </c>
    </row>
    <row r="312" spans="1:27" x14ac:dyDescent="0.35">
      <c r="A312">
        <v>0.106206028655252</v>
      </c>
      <c r="B312" s="1">
        <v>0.51669375563425601</v>
      </c>
      <c r="C312">
        <v>1.9660323210980001E-3</v>
      </c>
      <c r="D312">
        <v>116.66325999999999</v>
      </c>
      <c r="E312">
        <v>24.88654</v>
      </c>
      <c r="F312">
        <v>0.28705999999999998</v>
      </c>
      <c r="G312">
        <v>1.76772</v>
      </c>
      <c r="H312">
        <v>4.3577251919742002E-2</v>
      </c>
      <c r="I312">
        <v>0.27533000000000002</v>
      </c>
      <c r="J312">
        <v>-106810932705</v>
      </c>
      <c r="K312" s="1">
        <v>5805759488194</v>
      </c>
      <c r="L312">
        <v>21086427083575</v>
      </c>
      <c r="M312">
        <v>44747398808</v>
      </c>
      <c r="N312">
        <v>862464587830</v>
      </c>
      <c r="O312" s="1">
        <v>21019897927</v>
      </c>
      <c r="P312" s="1">
        <v>5247681255327</v>
      </c>
      <c r="Q312">
        <v>13368116150617</v>
      </c>
      <c r="R312">
        <v>7562356662423</v>
      </c>
      <c r="S312">
        <v>38910972601</v>
      </c>
      <c r="T312">
        <v>8.0000000000000002E-3</v>
      </c>
      <c r="U312">
        <f t="shared" si="28"/>
        <v>0.3095225011051807</v>
      </c>
      <c r="V312">
        <f t="shared" si="29"/>
        <v>-2.8788823802716887</v>
      </c>
      <c r="W312">
        <f t="shared" si="30"/>
        <v>0.51759450404407303</v>
      </c>
      <c r="X312">
        <f t="shared" si="31"/>
        <v>1</v>
      </c>
      <c r="Y312">
        <f t="shared" si="32"/>
        <v>0</v>
      </c>
      <c r="Z312">
        <f t="shared" si="33"/>
        <v>0</v>
      </c>
      <c r="AA312">
        <f t="shared" si="34"/>
        <v>0</v>
      </c>
    </row>
    <row r="313" spans="1:27" x14ac:dyDescent="0.35">
      <c r="A313">
        <v>0.113168948063932</v>
      </c>
      <c r="B313" s="1">
        <v>0.501391100440014</v>
      </c>
      <c r="C313">
        <v>9.7534612979389996E-3</v>
      </c>
      <c r="D313">
        <v>104.73262</v>
      </c>
      <c r="E313">
        <v>21.87302</v>
      </c>
      <c r="F313">
        <v>1.71871</v>
      </c>
      <c r="G313">
        <v>1.5280199999999999</v>
      </c>
      <c r="H313">
        <v>7.9473213157045003E-2</v>
      </c>
      <c r="I313">
        <v>0.21576999999999999</v>
      </c>
      <c r="J313">
        <v>-214592025963</v>
      </c>
      <c r="K313" s="1">
        <v>4706494412617</v>
      </c>
      <c r="L313">
        <v>21812999448669</v>
      </c>
      <c r="M313">
        <v>66631481571</v>
      </c>
      <c r="N313">
        <v>1704677634556</v>
      </c>
      <c r="O313" s="1">
        <v>24274414866</v>
      </c>
      <c r="P313" s="1">
        <v>4771161431573</v>
      </c>
      <c r="Q313">
        <v>13620003874478</v>
      </c>
      <c r="R313">
        <v>8913509461861</v>
      </c>
      <c r="S313">
        <v>209208948193</v>
      </c>
      <c r="T313">
        <v>1.9470000000000001E-2</v>
      </c>
      <c r="U313">
        <f t="shared" si="28"/>
        <v>0.28787655086485386</v>
      </c>
      <c r="V313">
        <f t="shared" si="29"/>
        <v>-3.0521336536123926</v>
      </c>
      <c r="W313">
        <f t="shared" si="30"/>
        <v>0.44567884497297816</v>
      </c>
      <c r="X313">
        <f t="shared" si="31"/>
        <v>1</v>
      </c>
      <c r="Y313">
        <f t="shared" si="32"/>
        <v>0</v>
      </c>
      <c r="Z313">
        <f t="shared" si="33"/>
        <v>0</v>
      </c>
      <c r="AA313">
        <f t="shared" si="34"/>
        <v>0</v>
      </c>
    </row>
    <row r="314" spans="1:27" x14ac:dyDescent="0.35">
      <c r="A314">
        <v>-6.1875035988546498</v>
      </c>
      <c r="B314" s="1">
        <v>-38.317218261398502</v>
      </c>
      <c r="C314">
        <v>-1.6044702884668E-2</v>
      </c>
      <c r="D314">
        <v>91.390050000000002</v>
      </c>
      <c r="E314">
        <v>15.25271</v>
      </c>
      <c r="F314">
        <v>-0.33855000000000002</v>
      </c>
      <c r="G314">
        <v>1.10981</v>
      </c>
      <c r="H314">
        <v>4.7390844711003001E-2</v>
      </c>
      <c r="I314">
        <v>6.9500000000000006E-2</v>
      </c>
      <c r="J314">
        <v>-101357588877</v>
      </c>
      <c r="K314" s="1">
        <v>1368679315432</v>
      </c>
      <c r="L314">
        <v>19693388488647</v>
      </c>
      <c r="M314">
        <v>-1231454143688</v>
      </c>
      <c r="N314">
        <v>983511392626</v>
      </c>
      <c r="O314" s="1">
        <v>-1284104623688</v>
      </c>
      <c r="P314" s="1">
        <v>3003775032636</v>
      </c>
      <c r="Q314">
        <v>13832422589315</v>
      </c>
      <c r="R314">
        <v>12463743273883</v>
      </c>
      <c r="S314">
        <v>-332978831135</v>
      </c>
      <c r="T314">
        <v>-4.3430000000000003E-2</v>
      </c>
      <c r="U314">
        <f t="shared" si="28"/>
        <v>-2.5557059416847241E-2</v>
      </c>
      <c r="V314">
        <f t="shared" si="29"/>
        <v>-3.1327345286867381</v>
      </c>
      <c r="W314">
        <f t="shared" si="30"/>
        <v>0.11307543140363457</v>
      </c>
      <c r="X314">
        <f t="shared" si="31"/>
        <v>1</v>
      </c>
      <c r="Y314">
        <f t="shared" si="32"/>
        <v>0</v>
      </c>
      <c r="Z314">
        <f t="shared" si="33"/>
        <v>0</v>
      </c>
      <c r="AA314">
        <f t="shared" si="34"/>
        <v>0</v>
      </c>
    </row>
    <row r="315" spans="1:27" x14ac:dyDescent="0.35">
      <c r="A315">
        <v>-5.75604377455553</v>
      </c>
      <c r="B315" s="1">
        <v>-50.797958732155699</v>
      </c>
      <c r="C315">
        <v>-8.1737184334600005E-3</v>
      </c>
      <c r="D315">
        <v>132.13011</v>
      </c>
      <c r="E315">
        <v>15.9076</v>
      </c>
      <c r="F315">
        <v>-0.17399000000000001</v>
      </c>
      <c r="G315">
        <v>1.2136100000000001</v>
      </c>
      <c r="H315">
        <v>2.4172997301487E-2</v>
      </c>
      <c r="I315">
        <v>0.12377000000000001</v>
      </c>
      <c r="J315">
        <v>-866564929673</v>
      </c>
      <c r="K315" s="1">
        <v>2257805287282</v>
      </c>
      <c r="L315">
        <v>18242135520682</v>
      </c>
      <c r="M315">
        <v>-1068859516010</v>
      </c>
      <c r="N315">
        <v>458507659754</v>
      </c>
      <c r="O315" s="1">
        <v>-1091792684042</v>
      </c>
      <c r="P315" s="1">
        <v>2901885479526</v>
      </c>
      <c r="Q315">
        <v>12827599704795</v>
      </c>
      <c r="R315">
        <v>10569794417513</v>
      </c>
      <c r="S315">
        <v>-155037145939</v>
      </c>
      <c r="T315">
        <v>-0.10661</v>
      </c>
      <c r="U315">
        <f t="shared" si="28"/>
        <v>4.4702288689786471E-2</v>
      </c>
      <c r="V315">
        <f t="shared" si="29"/>
        <v>-3.1190872948645185</v>
      </c>
      <c r="W315">
        <f t="shared" si="30"/>
        <v>0.23133066390109672</v>
      </c>
      <c r="X315">
        <f t="shared" si="31"/>
        <v>1</v>
      </c>
      <c r="Y315">
        <f t="shared" si="32"/>
        <v>0</v>
      </c>
      <c r="Z315">
        <f t="shared" si="33"/>
        <v>0</v>
      </c>
      <c r="AA315">
        <f t="shared" si="34"/>
        <v>0</v>
      </c>
    </row>
    <row r="316" spans="1:27" x14ac:dyDescent="0.35">
      <c r="A316" s="1" t="s">
        <v>3</v>
      </c>
      <c r="B316" s="1" t="s">
        <v>3</v>
      </c>
      <c r="C316" s="1" t="s">
        <v>3</v>
      </c>
      <c r="D316" s="1" t="s">
        <v>3</v>
      </c>
      <c r="E316" s="1" t="s">
        <v>3</v>
      </c>
      <c r="F316" s="1" t="s">
        <v>3</v>
      </c>
      <c r="G316" s="1" t="s">
        <v>3</v>
      </c>
      <c r="H316" s="1" t="s">
        <v>3</v>
      </c>
      <c r="I316" s="1" t="s">
        <v>3</v>
      </c>
      <c r="J316" s="1" t="s">
        <v>3</v>
      </c>
      <c r="K316" s="1" t="s">
        <v>3</v>
      </c>
      <c r="L316" s="1" t="s">
        <v>3</v>
      </c>
      <c r="M316" s="1" t="s">
        <v>3</v>
      </c>
      <c r="N316" s="1" t="s">
        <v>3</v>
      </c>
      <c r="O316" s="1" t="s">
        <v>3</v>
      </c>
      <c r="P316" s="1" t="s">
        <v>3</v>
      </c>
      <c r="Q316" s="1" t="s">
        <v>3</v>
      </c>
      <c r="R316" s="1" t="s">
        <v>3</v>
      </c>
      <c r="S316" s="1" t="s">
        <v>3</v>
      </c>
      <c r="T316" s="1" t="s">
        <v>3</v>
      </c>
      <c r="U316" t="e">
        <f t="shared" si="28"/>
        <v>#VALUE!</v>
      </c>
      <c r="V316" t="e">
        <f t="shared" si="29"/>
        <v>#VALUE!</v>
      </c>
      <c r="W316" t="e">
        <f t="shared" si="30"/>
        <v>#VALUE!</v>
      </c>
      <c r="X316" t="e">
        <f t="shared" si="31"/>
        <v>#VALUE!</v>
      </c>
      <c r="Y316" t="e">
        <f t="shared" si="32"/>
        <v>#VALUE!</v>
      </c>
      <c r="Z316" t="e">
        <f t="shared" si="33"/>
        <v>#VALUE!</v>
      </c>
      <c r="AA316" t="e">
        <f t="shared" si="34"/>
        <v>#VALUE!</v>
      </c>
    </row>
    <row r="317" spans="1:27" x14ac:dyDescent="0.35">
      <c r="A317" s="1">
        <v>2.4007546179714501</v>
      </c>
      <c r="B317" s="1" t="s">
        <v>3</v>
      </c>
      <c r="C317" s="1">
        <v>9.4450069181756996E-2</v>
      </c>
      <c r="D317" s="1">
        <v>1774.45589</v>
      </c>
      <c r="E317" s="1">
        <v>84.494510000000005</v>
      </c>
      <c r="F317" s="1">
        <v>20.81297</v>
      </c>
      <c r="G317" s="1">
        <v>1.0403199999999999</v>
      </c>
      <c r="H317" s="1">
        <v>0.211126944150301</v>
      </c>
      <c r="I317" s="1">
        <v>5.9199999999999999E-3</v>
      </c>
      <c r="J317" s="1">
        <v>161090234000</v>
      </c>
      <c r="K317" s="1">
        <v>10023748000</v>
      </c>
      <c r="L317" s="1">
        <v>1694097934000</v>
      </c>
      <c r="M317" s="1">
        <v>59180684000</v>
      </c>
      <c r="N317" s="1">
        <v>357663244000</v>
      </c>
      <c r="O317" s="1">
        <v>40670398000</v>
      </c>
      <c r="P317" s="1">
        <v>1431419797000</v>
      </c>
      <c r="Q317" s="1">
        <v>258610644000</v>
      </c>
      <c r="R317" s="1">
        <v>248586896000</v>
      </c>
      <c r="S317" s="1">
        <v>160004770000</v>
      </c>
      <c r="T317" s="1">
        <v>-0.45476</v>
      </c>
      <c r="U317">
        <f t="shared" si="28"/>
        <v>0.53762522391963463</v>
      </c>
      <c r="V317">
        <f t="shared" si="29"/>
        <v>0.41231652390198387</v>
      </c>
      <c r="W317">
        <f t="shared" si="30"/>
        <v>0.38864915461611088</v>
      </c>
      <c r="X317">
        <f t="shared" si="31"/>
        <v>1</v>
      </c>
      <c r="Y317">
        <f t="shared" si="32"/>
        <v>1</v>
      </c>
      <c r="Z317">
        <f t="shared" si="33"/>
        <v>0</v>
      </c>
      <c r="AA317">
        <f t="shared" si="34"/>
        <v>1</v>
      </c>
    </row>
    <row r="318" spans="1:27" x14ac:dyDescent="0.35">
      <c r="A318" s="1">
        <v>9.9074147863844093</v>
      </c>
      <c r="B318" s="1">
        <v>43.297174167617101</v>
      </c>
      <c r="C318" s="1">
        <v>8.4027565914541996E-2</v>
      </c>
      <c r="D318" s="1">
        <v>171.47259</v>
      </c>
      <c r="E318" s="1">
        <v>58.578850000000003</v>
      </c>
      <c r="F318" s="1">
        <v>3.7117100000000001</v>
      </c>
      <c r="G318" s="1">
        <v>0.51441999999999999</v>
      </c>
      <c r="H318" s="1">
        <v>0.177608205398568</v>
      </c>
      <c r="I318" s="1">
        <v>-8.8200000000000001E-2</v>
      </c>
      <c r="J318" s="1">
        <v>176173370000</v>
      </c>
      <c r="K318" s="1">
        <v>-240035325000</v>
      </c>
      <c r="L318" s="1">
        <v>2721499590000</v>
      </c>
      <c r="M318" s="1">
        <v>252306562000</v>
      </c>
      <c r="N318" s="1">
        <v>392123176000</v>
      </c>
      <c r="O318" s="1">
        <v>218735781000</v>
      </c>
      <c r="P318" s="1">
        <v>1594223187000</v>
      </c>
      <c r="Q318" s="1">
        <v>254295329000</v>
      </c>
      <c r="R318" s="1">
        <v>494330654000</v>
      </c>
      <c r="S318" s="1">
        <v>185515956000</v>
      </c>
      <c r="T318" s="1">
        <v>-0.20271</v>
      </c>
      <c r="U318">
        <f t="shared" si="28"/>
        <v>0.51292413435867679</v>
      </c>
      <c r="V318">
        <f t="shared" si="29"/>
        <v>-1.3206274529324007</v>
      </c>
      <c r="W318">
        <f t="shared" si="30"/>
        <v>0.14479637569961931</v>
      </c>
      <c r="X318">
        <f t="shared" si="31"/>
        <v>1</v>
      </c>
      <c r="Y318">
        <f t="shared" si="32"/>
        <v>0</v>
      </c>
      <c r="Z318">
        <f t="shared" si="33"/>
        <v>0</v>
      </c>
      <c r="AA318">
        <f t="shared" si="34"/>
        <v>0</v>
      </c>
    </row>
    <row r="319" spans="1:27" x14ac:dyDescent="0.35">
      <c r="A319" s="1">
        <v>2.9585538108194598</v>
      </c>
      <c r="B319" s="1">
        <v>8.6118857698152809</v>
      </c>
      <c r="C319" s="1">
        <v>7.2194014294751002E-2</v>
      </c>
      <c r="D319" s="1">
        <v>150.37468999999999</v>
      </c>
      <c r="E319" s="1">
        <v>52.909570000000002</v>
      </c>
      <c r="F319" s="1">
        <v>1.1335999999999999</v>
      </c>
      <c r="G319" s="1">
        <v>0.98087999999999997</v>
      </c>
      <c r="H319" s="1">
        <v>0.15226939816395699</v>
      </c>
      <c r="I319" s="1">
        <v>-1.41E-3</v>
      </c>
      <c r="J319" s="1">
        <v>48068819000</v>
      </c>
      <c r="K319" s="1">
        <v>-4395960000</v>
      </c>
      <c r="L319" s="1">
        <v>3115215408000</v>
      </c>
      <c r="M319" s="1">
        <v>111095967000</v>
      </c>
      <c r="N319" s="1">
        <v>444376540000</v>
      </c>
      <c r="O319" s="1">
        <v>86341177000</v>
      </c>
      <c r="P319" s="1">
        <v>1648247067000</v>
      </c>
      <c r="Q319" s="1">
        <v>225554374000</v>
      </c>
      <c r="R319" s="1">
        <v>229950334000</v>
      </c>
      <c r="S319" s="1">
        <v>210687943000</v>
      </c>
      <c r="T319" s="1">
        <v>-0.15023</v>
      </c>
      <c r="U319">
        <f t="shared" si="28"/>
        <v>0.58210131034852686</v>
      </c>
      <c r="V319">
        <f t="shared" si="29"/>
        <v>-1.404952803710203</v>
      </c>
      <c r="W319">
        <f t="shared" si="30"/>
        <v>0.28533409239609159</v>
      </c>
      <c r="X319">
        <f t="shared" si="31"/>
        <v>1</v>
      </c>
      <c r="Y319">
        <f t="shared" si="32"/>
        <v>0</v>
      </c>
      <c r="Z319">
        <f t="shared" si="33"/>
        <v>0</v>
      </c>
      <c r="AA319">
        <f t="shared" si="34"/>
        <v>0</v>
      </c>
    </row>
    <row r="320" spans="1:27" x14ac:dyDescent="0.35">
      <c r="A320" s="1">
        <v>-0.17522945022648101</v>
      </c>
      <c r="B320" s="1">
        <v>-0.93880990709314804</v>
      </c>
      <c r="C320" s="1">
        <v>5.4574989401941998E-2</v>
      </c>
      <c r="D320" s="1">
        <v>171.82934</v>
      </c>
      <c r="E320" s="1">
        <v>52.585439999999998</v>
      </c>
      <c r="F320" s="1">
        <v>1.3059000000000001</v>
      </c>
      <c r="G320" s="1">
        <v>0.90724000000000005</v>
      </c>
      <c r="H320" s="1">
        <v>0.135918223103387</v>
      </c>
      <c r="I320" s="1">
        <v>-1.069E-2</v>
      </c>
      <c r="J320" s="1">
        <v>141699054000</v>
      </c>
      <c r="K320" s="1">
        <v>-38080900000</v>
      </c>
      <c r="L320" s="1">
        <v>3562501143000</v>
      </c>
      <c r="M320" s="1">
        <v>33722317000</v>
      </c>
      <c r="N320" s="1">
        <v>453811684000</v>
      </c>
      <c r="O320" s="1">
        <v>-5850663000</v>
      </c>
      <c r="P320" s="1">
        <v>1873356898000</v>
      </c>
      <c r="Q320" s="1">
        <v>372466655000</v>
      </c>
      <c r="R320" s="1">
        <v>410547555000</v>
      </c>
      <c r="S320" s="1">
        <v>182218155000</v>
      </c>
      <c r="T320" s="1">
        <v>1.7000000000000001E-4</v>
      </c>
      <c r="U320">
        <f t="shared" si="28"/>
        <v>0.25118377360051369</v>
      </c>
      <c r="V320">
        <f t="shared" si="29"/>
        <v>-1.2916106415668462</v>
      </c>
      <c r="W320">
        <f t="shared" si="30"/>
        <v>0.21344724917692467</v>
      </c>
      <c r="X320">
        <f t="shared" si="31"/>
        <v>1</v>
      </c>
      <c r="Y320">
        <f t="shared" si="32"/>
        <v>0</v>
      </c>
      <c r="Z320">
        <f t="shared" si="33"/>
        <v>0</v>
      </c>
      <c r="AA320">
        <f t="shared" si="34"/>
        <v>0</v>
      </c>
    </row>
    <row r="321" spans="1:27" x14ac:dyDescent="0.35">
      <c r="A321" s="1">
        <v>3.94103488821965</v>
      </c>
      <c r="B321" s="1">
        <v>11.2196671508317</v>
      </c>
      <c r="C321" s="1">
        <v>5.1883330296252E-2</v>
      </c>
      <c r="D321" s="1">
        <v>108.83244000000001</v>
      </c>
      <c r="E321" s="1">
        <v>42.784999999999997</v>
      </c>
      <c r="F321" s="1">
        <v>3.9550800000000002</v>
      </c>
      <c r="G321" s="1">
        <v>0.98440000000000005</v>
      </c>
      <c r="H321" s="1">
        <v>0.17655905579192099</v>
      </c>
      <c r="I321" s="1">
        <v>-1.4E-3</v>
      </c>
      <c r="J321" s="1">
        <v>87636113000</v>
      </c>
      <c r="K321" s="1">
        <v>-6059862000</v>
      </c>
      <c r="L321" s="1">
        <v>4337271552000</v>
      </c>
      <c r="M321" s="1">
        <v>203105582000</v>
      </c>
      <c r="N321" s="1">
        <v>697388204000</v>
      </c>
      <c r="O321" s="1">
        <v>155666399000</v>
      </c>
      <c r="P321" s="1">
        <v>1855701572000</v>
      </c>
      <c r="Q321" s="1">
        <v>382494027000</v>
      </c>
      <c r="R321" s="1">
        <v>388553889000</v>
      </c>
      <c r="S321" s="1">
        <v>204933258000</v>
      </c>
      <c r="T321" s="1">
        <v>3.3939999999999998E-2</v>
      </c>
      <c r="U321">
        <f t="shared" si="28"/>
        <v>0.55292864884748694</v>
      </c>
      <c r="V321">
        <f t="shared" si="29"/>
        <v>-2.018824252244714</v>
      </c>
      <c r="W321">
        <f t="shared" si="30"/>
        <v>0.21610571704872583</v>
      </c>
      <c r="X321">
        <f t="shared" si="31"/>
        <v>1</v>
      </c>
      <c r="Y321">
        <f t="shared" si="32"/>
        <v>0</v>
      </c>
      <c r="Z321">
        <f t="shared" si="33"/>
        <v>0</v>
      </c>
      <c r="AA321">
        <f t="shared" si="34"/>
        <v>0</v>
      </c>
    </row>
    <row r="322" spans="1:27" x14ac:dyDescent="0.35">
      <c r="A322" s="1">
        <v>6.8321677239993299</v>
      </c>
      <c r="B322" s="1">
        <v>15.577615336131499</v>
      </c>
      <c r="C322" s="1">
        <v>0.101089764769657</v>
      </c>
      <c r="D322" s="1">
        <v>94.633210000000005</v>
      </c>
      <c r="E322" s="1">
        <v>38.912660000000002</v>
      </c>
      <c r="F322" s="1">
        <v>2.4982799999999998</v>
      </c>
      <c r="G322" s="1">
        <v>0.88822000000000001</v>
      </c>
      <c r="H322" s="1">
        <v>0.26506295559503201</v>
      </c>
      <c r="I322" s="1">
        <v>-1.404E-2</v>
      </c>
      <c r="J322" s="1">
        <v>512898902000</v>
      </c>
      <c r="K322" s="1">
        <v>-69192684000</v>
      </c>
      <c r="L322" s="1">
        <v>4928510460000</v>
      </c>
      <c r="M322" s="1">
        <v>385625772000</v>
      </c>
      <c r="N322" s="1">
        <v>1228007783000</v>
      </c>
      <c r="O322" s="1">
        <v>316526884000</v>
      </c>
      <c r="P322" s="1">
        <v>1917814310000</v>
      </c>
      <c r="Q322" s="1">
        <v>549836016000</v>
      </c>
      <c r="R322" s="1">
        <v>619028700000</v>
      </c>
      <c r="S322" s="1">
        <v>468337862000</v>
      </c>
      <c r="T322" s="1">
        <v>8.6379999999999998E-2</v>
      </c>
      <c r="U322">
        <f t="shared" ref="U322:U385" si="35">1.03*(K322/L322) + 3.07*(S322/L322) + 0.66*(M322/R322) +0.4*(N322/L322)</f>
        <v>0.78808473530363066</v>
      </c>
      <c r="V322">
        <f t="shared" ref="V322:V385" si="36">-4.3-4.5*(O322/L322)+5.7*(P322/L322)+0.004*(Q322/R322)</f>
        <v>-2.3674321080989227</v>
      </c>
      <c r="W322">
        <f t="shared" ref="W322:W385" si="37">0.057+1.65*(K322/L322)+3.404*(S322/L322)+0.016*(O322/L322)</f>
        <v>0.35833213591515845</v>
      </c>
      <c r="X322">
        <f t="shared" si="31"/>
        <v>1</v>
      </c>
      <c r="Y322">
        <f t="shared" si="32"/>
        <v>0</v>
      </c>
      <c r="Z322">
        <f t="shared" si="33"/>
        <v>0</v>
      </c>
      <c r="AA322">
        <f t="shared" si="34"/>
        <v>0</v>
      </c>
    </row>
    <row r="323" spans="1:27" x14ac:dyDescent="0.35">
      <c r="A323" s="1">
        <v>7.0931058102247304</v>
      </c>
      <c r="B323" s="1">
        <v>16.833823683469301</v>
      </c>
      <c r="C323" s="1">
        <v>0.116727849092576</v>
      </c>
      <c r="D323" s="1">
        <v>87.088520000000003</v>
      </c>
      <c r="E323" s="1">
        <v>35.976199999999999</v>
      </c>
      <c r="F323" s="1">
        <v>2.32199</v>
      </c>
      <c r="G323" s="1">
        <v>1.38243</v>
      </c>
      <c r="H323" s="1">
        <v>0.27697441408715001</v>
      </c>
      <c r="I323" s="1">
        <v>8.3220000000000002E-2</v>
      </c>
      <c r="J323" s="1">
        <v>346238989000</v>
      </c>
      <c r="K323" s="1">
        <v>478060892000</v>
      </c>
      <c r="L323" s="1">
        <v>5744711035000</v>
      </c>
      <c r="M323" s="1">
        <v>469870548000</v>
      </c>
      <c r="N323" s="1">
        <v>1478104635000</v>
      </c>
      <c r="O323" s="1">
        <v>378531447000</v>
      </c>
      <c r="P323" s="1">
        <v>2066728615000</v>
      </c>
      <c r="Q323" s="1">
        <v>1728138046000</v>
      </c>
      <c r="R323" s="1">
        <v>1250077154000</v>
      </c>
      <c r="S323" s="1">
        <v>622931094000</v>
      </c>
      <c r="T323" s="1">
        <v>0.11624</v>
      </c>
      <c r="U323">
        <f t="shared" si="35"/>
        <v>0.7696070135974844</v>
      </c>
      <c r="V323">
        <f t="shared" si="36"/>
        <v>-2.5403417572217015</v>
      </c>
      <c r="W323">
        <f t="shared" si="37"/>
        <v>0.56447799169814994</v>
      </c>
      <c r="X323">
        <f t="shared" ref="X323:X386" si="38">IF(U323&gt;=0.862,0,1)</f>
        <v>1</v>
      </c>
      <c r="Y323">
        <f t="shared" ref="Y323:Y386" si="39">IF(V323&lt;=0,0,1)</f>
        <v>0</v>
      </c>
      <c r="Z323">
        <f t="shared" ref="Z323:Z386" si="40">IF(W323&gt;=0.01,0,1)</f>
        <v>0</v>
      </c>
      <c r="AA323">
        <f t="shared" ref="AA323:AA386" si="41">IF(SUM(X323:Z323)&gt;=2,1,0)</f>
        <v>0</v>
      </c>
    </row>
    <row r="324" spans="1:27" x14ac:dyDescent="0.35">
      <c r="A324" s="1">
        <v>11.5171349335605</v>
      </c>
      <c r="B324" s="1">
        <v>29.070567739133701</v>
      </c>
      <c r="C324" s="1">
        <v>0.16032884366943101</v>
      </c>
      <c r="D324" s="1">
        <v>77.38279</v>
      </c>
      <c r="E324" s="1">
        <v>32.05986</v>
      </c>
      <c r="F324" s="1">
        <v>3.7187199999999998</v>
      </c>
      <c r="G324" s="1">
        <v>1.34236</v>
      </c>
      <c r="H324" s="1">
        <v>0.32536596623702901</v>
      </c>
      <c r="I324" s="1">
        <v>9.1329999999999995E-2</v>
      </c>
      <c r="J324" s="1">
        <v>1367992038000</v>
      </c>
      <c r="K324" s="1">
        <v>690981973000</v>
      </c>
      <c r="L324" s="1">
        <v>7565819916000</v>
      </c>
      <c r="M324" s="1">
        <v>901104834000</v>
      </c>
      <c r="N324" s="1">
        <v>2165396882000</v>
      </c>
      <c r="O324" s="1">
        <v>766495905000</v>
      </c>
      <c r="P324" s="1">
        <v>2425590907000</v>
      </c>
      <c r="Q324" s="1">
        <v>2709269601000</v>
      </c>
      <c r="R324" s="1">
        <v>2018287628000</v>
      </c>
      <c r="S324" s="1">
        <v>1067031018000</v>
      </c>
      <c r="T324" s="1">
        <v>0.17788999999999999</v>
      </c>
      <c r="U324">
        <f t="shared" si="35"/>
        <v>0.93619423269916358</v>
      </c>
      <c r="V324">
        <f t="shared" si="36"/>
        <v>-2.9231154132066761</v>
      </c>
      <c r="W324">
        <f t="shared" si="37"/>
        <v>0.68939117879130873</v>
      </c>
      <c r="X324">
        <f t="shared" si="38"/>
        <v>0</v>
      </c>
      <c r="Y324">
        <f t="shared" si="39"/>
        <v>0</v>
      </c>
      <c r="Z324">
        <f t="shared" si="40"/>
        <v>0</v>
      </c>
      <c r="AA324">
        <f t="shared" si="41"/>
        <v>0</v>
      </c>
    </row>
    <row r="325" spans="1:27" x14ac:dyDescent="0.35">
      <c r="A325" s="1">
        <v>13.4789271645257</v>
      </c>
      <c r="B325" s="1">
        <v>33.374977094976003</v>
      </c>
      <c r="C325" s="1">
        <v>0.17982448915708399</v>
      </c>
      <c r="D325" s="1">
        <v>58.857660000000003</v>
      </c>
      <c r="E325" s="1">
        <v>25.968779999999999</v>
      </c>
      <c r="F325" s="1">
        <v>8.3686799999999995</v>
      </c>
      <c r="G325" s="1">
        <v>1.30193</v>
      </c>
      <c r="H325" s="1">
        <v>0.35931990214579701</v>
      </c>
      <c r="I325" s="1">
        <v>9.2539999999999997E-2</v>
      </c>
      <c r="J325" s="1">
        <v>2103061995000</v>
      </c>
      <c r="K325" s="1">
        <v>860448784000</v>
      </c>
      <c r="L325" s="1">
        <v>9298245408000</v>
      </c>
      <c r="M325" s="1">
        <v>1331191716000</v>
      </c>
      <c r="N325" s="1">
        <v>3029797151000</v>
      </c>
      <c r="O325" s="1">
        <v>1136547541000</v>
      </c>
      <c r="P325" s="1">
        <v>2414640823000</v>
      </c>
      <c r="Q325" s="1">
        <v>3710316021000</v>
      </c>
      <c r="R325" s="1">
        <v>2849867237000</v>
      </c>
      <c r="S325" s="1">
        <v>1516285966000</v>
      </c>
      <c r="T325" s="1">
        <v>0.24845</v>
      </c>
      <c r="U325">
        <f t="shared" si="35"/>
        <v>1.0345756448867789</v>
      </c>
      <c r="V325">
        <f t="shared" si="36"/>
        <v>-3.3646180132112624</v>
      </c>
      <c r="W325">
        <f t="shared" si="37"/>
        <v>0.76674279479030072</v>
      </c>
      <c r="X325">
        <f t="shared" si="38"/>
        <v>0</v>
      </c>
      <c r="Y325">
        <f t="shared" si="39"/>
        <v>0</v>
      </c>
      <c r="Z325">
        <f t="shared" si="40"/>
        <v>0</v>
      </c>
      <c r="AA325">
        <f t="shared" si="41"/>
        <v>0</v>
      </c>
    </row>
    <row r="326" spans="1:27" x14ac:dyDescent="0.35">
      <c r="A326" s="1">
        <v>19.9381120769498</v>
      </c>
      <c r="B326" s="1">
        <v>50.057310306326301</v>
      </c>
      <c r="C326" s="1">
        <v>0.14533356353718099</v>
      </c>
      <c r="D326" s="1">
        <v>55.491459999999996</v>
      </c>
      <c r="E326" s="1">
        <v>27.407240000000002</v>
      </c>
      <c r="F326" s="1">
        <v>6.7074600000000002</v>
      </c>
      <c r="G326" s="1">
        <v>1.4073</v>
      </c>
      <c r="H326" s="1">
        <v>0.29707888545739702</v>
      </c>
      <c r="I326" s="1">
        <v>9.5039999999999999E-2</v>
      </c>
      <c r="J326" s="1">
        <v>1994903653000</v>
      </c>
      <c r="K326" s="1">
        <v>1593843828000</v>
      </c>
      <c r="L326" s="1">
        <v>16770742538000</v>
      </c>
      <c r="M326" s="1">
        <v>2858996686000</v>
      </c>
      <c r="N326" s="1">
        <v>3872272942000</v>
      </c>
      <c r="O326" s="1">
        <v>2598832017000</v>
      </c>
      <c r="P326" s="1">
        <v>4596397141000</v>
      </c>
      <c r="Q326" s="1">
        <v>5506991226000</v>
      </c>
      <c r="R326" s="1">
        <v>3913147398000</v>
      </c>
      <c r="S326" s="1">
        <v>1894349458000</v>
      </c>
      <c r="T326" s="1">
        <v>0.27482000000000001</v>
      </c>
      <c r="U326">
        <f t="shared" si="35"/>
        <v>1.0192244559959913</v>
      </c>
      <c r="V326">
        <f t="shared" si="36"/>
        <v>-3.4294884062590492</v>
      </c>
      <c r="W326">
        <f t="shared" si="37"/>
        <v>0.60079161583572815</v>
      </c>
      <c r="X326">
        <f t="shared" si="38"/>
        <v>0</v>
      </c>
      <c r="Y326">
        <f t="shared" si="39"/>
        <v>0</v>
      </c>
      <c r="Z326">
        <f t="shared" si="40"/>
        <v>0</v>
      </c>
      <c r="AA326">
        <f t="shared" si="41"/>
        <v>0</v>
      </c>
    </row>
    <row r="327" spans="1:27" x14ac:dyDescent="0.35">
      <c r="A327" s="1">
        <v>7.8795996316788699</v>
      </c>
      <c r="B327" s="1">
        <v>18.845271825070402</v>
      </c>
      <c r="C327" s="1">
        <v>0.122170391133139</v>
      </c>
      <c r="D327" s="1">
        <v>51.90972</v>
      </c>
      <c r="E327" s="1">
        <v>26.1373</v>
      </c>
      <c r="F327" s="1">
        <v>8.9666499999999996</v>
      </c>
      <c r="G327" s="1">
        <v>1.2226399999999999</v>
      </c>
      <c r="H327" s="1">
        <v>0.26020818028083198</v>
      </c>
      <c r="I327" s="1">
        <v>5.2449999999999997E-2</v>
      </c>
      <c r="J327" s="1">
        <v>1741992351000</v>
      </c>
      <c r="K327" s="1">
        <v>984883832000</v>
      </c>
      <c r="L327">
        <v>18778122467000</v>
      </c>
      <c r="M327">
        <v>1741324742000</v>
      </c>
      <c r="N327">
        <v>4625052737000</v>
      </c>
      <c r="O327">
        <v>1400554118000</v>
      </c>
      <c r="P327">
        <v>4908093461000</v>
      </c>
      <c r="Q327">
        <v>5408561738000</v>
      </c>
      <c r="R327">
        <v>4423677906000</v>
      </c>
      <c r="S327">
        <v>2171509371000</v>
      </c>
      <c r="T327">
        <v>0.30113000000000001</v>
      </c>
      <c r="U327">
        <f t="shared" si="35"/>
        <v>0.76735857805182384</v>
      </c>
      <c r="V327">
        <f t="shared" si="36"/>
        <v>-3.1409131581311756</v>
      </c>
      <c r="W327">
        <f t="shared" si="37"/>
        <v>0.53837320988598913</v>
      </c>
      <c r="X327">
        <f t="shared" si="38"/>
        <v>1</v>
      </c>
      <c r="Y327">
        <f t="shared" si="39"/>
        <v>0</v>
      </c>
      <c r="Z327">
        <f t="shared" si="40"/>
        <v>0</v>
      </c>
      <c r="AA327">
        <f t="shared" si="41"/>
        <v>0</v>
      </c>
    </row>
    <row r="328" spans="1:27" x14ac:dyDescent="0.35">
      <c r="A328" s="1">
        <v>9.0248558386406508</v>
      </c>
      <c r="B328" s="1">
        <v>21.012298068044899</v>
      </c>
      <c r="C328" s="1">
        <v>0.1149850529766</v>
      </c>
      <c r="D328" s="1">
        <v>47.550910000000002</v>
      </c>
      <c r="E328" s="1">
        <v>25.345500000000001</v>
      </c>
      <c r="F328" s="1">
        <v>6.9425100000000004</v>
      </c>
      <c r="G328" s="1">
        <v>1.32666</v>
      </c>
      <c r="H328" s="1">
        <v>0.245415816854127</v>
      </c>
      <c r="I328" s="1">
        <v>7.2969999999999993E-2</v>
      </c>
      <c r="J328" s="1">
        <v>1324703811000</v>
      </c>
      <c r="K328" s="1">
        <v>1508590640000</v>
      </c>
      <c r="L328">
        <v>20674141654000</v>
      </c>
      <c r="M328">
        <v>2056581875000</v>
      </c>
      <c r="N328">
        <v>4841104813000</v>
      </c>
      <c r="O328" s="1">
        <v>1780254981000</v>
      </c>
      <c r="P328" s="1">
        <v>5239965093000</v>
      </c>
      <c r="Q328">
        <v>6126852547000</v>
      </c>
      <c r="R328">
        <v>4618261907000</v>
      </c>
      <c r="S328">
        <v>2268210340000</v>
      </c>
      <c r="T328">
        <v>0.34383999999999998</v>
      </c>
      <c r="U328">
        <f t="shared" si="35"/>
        <v>0.7995490965598202</v>
      </c>
      <c r="V328">
        <f t="shared" si="36"/>
        <v>-3.2374957366065487</v>
      </c>
      <c r="W328">
        <f t="shared" si="37"/>
        <v>0.55223926092839959</v>
      </c>
      <c r="X328">
        <f t="shared" si="38"/>
        <v>1</v>
      </c>
      <c r="Y328">
        <f t="shared" si="39"/>
        <v>0</v>
      </c>
      <c r="Z328">
        <f t="shared" si="40"/>
        <v>0</v>
      </c>
      <c r="AA328">
        <f t="shared" si="41"/>
        <v>0</v>
      </c>
    </row>
    <row r="329" spans="1:27" x14ac:dyDescent="0.35">
      <c r="A329" s="1">
        <v>9.1959825823157804</v>
      </c>
      <c r="B329" s="1">
        <v>19.7100449819171</v>
      </c>
      <c r="C329" s="1">
        <v>0.121328320622605</v>
      </c>
      <c r="D329" s="1">
        <v>42.43092</v>
      </c>
      <c r="E329" s="1">
        <v>23.23563</v>
      </c>
      <c r="F329" s="1">
        <v>9.0930800000000005</v>
      </c>
      <c r="G329" s="1">
        <v>1.7153099999999999</v>
      </c>
      <c r="H329" s="1">
        <v>0.259694131074235</v>
      </c>
      <c r="I329" s="1">
        <v>0.15045</v>
      </c>
      <c r="J329" s="1">
        <v>2258239457000</v>
      </c>
      <c r="K329" s="1">
        <v>3514427451000</v>
      </c>
      <c r="L329" s="1">
        <v>23358717736000</v>
      </c>
      <c r="M329" s="1">
        <v>2405830972000</v>
      </c>
      <c r="N329" s="1">
        <v>5717537579000</v>
      </c>
      <c r="O329" s="1">
        <v>2024627040000</v>
      </c>
      <c r="P329" s="1">
        <v>5427546271000</v>
      </c>
      <c r="Q329" s="1">
        <v>8427605641000</v>
      </c>
      <c r="R329" s="1">
        <v>4913178190000</v>
      </c>
      <c r="S329" s="1">
        <v>2671216441000</v>
      </c>
      <c r="T329" s="1">
        <v>0.37522</v>
      </c>
      <c r="U329">
        <f t="shared" si="35"/>
        <v>0.92713205180377456</v>
      </c>
      <c r="V329">
        <f t="shared" si="36"/>
        <v>-3.3587470708538958</v>
      </c>
      <c r="W329">
        <f t="shared" si="37"/>
        <v>0.69590579357245241</v>
      </c>
      <c r="X329">
        <f t="shared" si="38"/>
        <v>0</v>
      </c>
      <c r="Y329">
        <f t="shared" si="39"/>
        <v>0</v>
      </c>
      <c r="Z329">
        <f t="shared" si="40"/>
        <v>0</v>
      </c>
      <c r="AA329">
        <f t="shared" si="41"/>
        <v>0</v>
      </c>
    </row>
    <row r="330" spans="1:27" x14ac:dyDescent="0.35">
      <c r="A330" s="1">
        <v>11.6871572001827</v>
      </c>
      <c r="B330" s="1">
        <v>22.193262102586701</v>
      </c>
      <c r="C330" s="1">
        <v>0.14381039472171001</v>
      </c>
      <c r="D330" s="1">
        <v>36.444029999999998</v>
      </c>
      <c r="E330" s="1">
        <v>22.304639999999999</v>
      </c>
      <c r="F330" s="1">
        <v>14.29515</v>
      </c>
      <c r="G330" s="1">
        <v>2.3124799999999999</v>
      </c>
      <c r="H330" s="1">
        <v>0.292729931850992</v>
      </c>
      <c r="I330" s="1">
        <v>0.21490000000000001</v>
      </c>
      <c r="J330" s="1">
        <v>2364842640000</v>
      </c>
      <c r="K330" s="1">
        <v>5376406503000</v>
      </c>
      <c r="L330" s="1">
        <v>25018080224000</v>
      </c>
      <c r="M330" s="1">
        <v>3237248133000</v>
      </c>
      <c r="N330" s="1">
        <v>7080668385000</v>
      </c>
      <c r="O330" s="1">
        <v>2826936213000</v>
      </c>
      <c r="P330" s="1">
        <v>5580193133000</v>
      </c>
      <c r="Q330" s="1">
        <v>9472787624000</v>
      </c>
      <c r="R330" s="1">
        <v>4096381121000</v>
      </c>
      <c r="S330" s="1">
        <v>3478543205000</v>
      </c>
      <c r="T330" s="1">
        <v>0.44042999999999999</v>
      </c>
      <c r="U330">
        <f t="shared" si="35"/>
        <v>1.2829914519572878</v>
      </c>
      <c r="V330">
        <f t="shared" si="36"/>
        <v>-3.527866299922791</v>
      </c>
      <c r="W330">
        <f t="shared" si="37"/>
        <v>0.88669047158404368</v>
      </c>
      <c r="X330">
        <f t="shared" si="38"/>
        <v>0</v>
      </c>
      <c r="Y330">
        <f t="shared" si="39"/>
        <v>0</v>
      </c>
      <c r="Z330">
        <f t="shared" si="40"/>
        <v>0</v>
      </c>
      <c r="AA330">
        <f t="shared" si="41"/>
        <v>0</v>
      </c>
    </row>
    <row r="331" spans="1:27" x14ac:dyDescent="0.35">
      <c r="A331" s="1">
        <v>12.6769370705269</v>
      </c>
      <c r="B331" s="1">
        <v>19.730006312545999</v>
      </c>
      <c r="C331" s="1">
        <v>0.13565052355592799</v>
      </c>
      <c r="D331" s="1">
        <v>26.507429999999999</v>
      </c>
      <c r="E331" s="1">
        <v>18.381540000000001</v>
      </c>
      <c r="F331" s="1">
        <v>15.77702</v>
      </c>
      <c r="G331" s="1">
        <v>2.8586800000000001</v>
      </c>
      <c r="H331" s="1">
        <v>0.281805735634374</v>
      </c>
      <c r="I331" s="1">
        <v>0.24024999999999999</v>
      </c>
      <c r="J331" s="1">
        <v>1770398006000</v>
      </c>
      <c r="K331" s="1">
        <v>6269490736000</v>
      </c>
      <c r="L331">
        <v>26095153343000</v>
      </c>
      <c r="M331">
        <v>3660935372000</v>
      </c>
      <c r="N331">
        <v>7202001193000</v>
      </c>
      <c r="O331" s="1">
        <v>3239796227000</v>
      </c>
      <c r="P331" s="1">
        <v>4796690211000</v>
      </c>
      <c r="Q331">
        <v>9642587369000</v>
      </c>
      <c r="R331">
        <v>3373096633000</v>
      </c>
      <c r="S331">
        <v>3466768447000</v>
      </c>
      <c r="T331">
        <v>0.51354</v>
      </c>
      <c r="U331">
        <f t="shared" si="35"/>
        <v>1.4820315758634599</v>
      </c>
      <c r="V331">
        <f t="shared" si="36"/>
        <v>-3.7995070053682305</v>
      </c>
      <c r="W331">
        <f t="shared" si="37"/>
        <v>0.90763214443897589</v>
      </c>
      <c r="X331">
        <f t="shared" si="38"/>
        <v>0</v>
      </c>
      <c r="Y331">
        <f t="shared" si="39"/>
        <v>0</v>
      </c>
      <c r="Z331">
        <f t="shared" si="40"/>
        <v>0</v>
      </c>
      <c r="AA331">
        <f t="shared" si="41"/>
        <v>0</v>
      </c>
    </row>
    <row r="332" spans="1:27" x14ac:dyDescent="0.35">
      <c r="A332" s="1">
        <v>4.2589104122963404</v>
      </c>
      <c r="B332" s="1">
        <v>6.2817813767699402</v>
      </c>
      <c r="C332" s="1">
        <v>5.964980584435E-2</v>
      </c>
      <c r="D332" s="1">
        <v>22.41086</v>
      </c>
      <c r="E332" s="1">
        <v>14.90626</v>
      </c>
      <c r="F332" s="1">
        <v>7.9298500000000001</v>
      </c>
      <c r="G332" s="1">
        <v>1.98078</v>
      </c>
      <c r="H332" s="1">
        <v>0.15135724911571399</v>
      </c>
      <c r="I332" s="1">
        <v>0.16075</v>
      </c>
      <c r="J332" s="1">
        <v>1419103967000</v>
      </c>
      <c r="K332" s="1">
        <v>4253325595000</v>
      </c>
      <c r="L332">
        <v>26458805377000</v>
      </c>
      <c r="M332">
        <v>1389956231000</v>
      </c>
      <c r="N332">
        <v>3977211311000</v>
      </c>
      <c r="O332" s="1">
        <v>1119113010000</v>
      </c>
      <c r="P332" s="1">
        <v>3944018454000</v>
      </c>
      <c r="Q332">
        <v>8590023831000</v>
      </c>
      <c r="R332">
        <v>4336698236000</v>
      </c>
      <c r="S332">
        <v>1567416717000</v>
      </c>
      <c r="T332">
        <v>0.49319000000000002</v>
      </c>
      <c r="U332">
        <f t="shared" si="35"/>
        <v>0.6191053999205367</v>
      </c>
      <c r="V332">
        <f t="shared" si="36"/>
        <v>-3.6327539863774034</v>
      </c>
      <c r="W332">
        <f t="shared" si="37"/>
        <v>0.52457135737247385</v>
      </c>
      <c r="X332">
        <f t="shared" si="38"/>
        <v>1</v>
      </c>
      <c r="Y332">
        <f t="shared" si="39"/>
        <v>0</v>
      </c>
      <c r="Z332">
        <f t="shared" si="40"/>
        <v>0</v>
      </c>
      <c r="AA332">
        <f t="shared" si="41"/>
        <v>0</v>
      </c>
    </row>
    <row r="333" spans="1:27" x14ac:dyDescent="0.35">
      <c r="A333" s="1">
        <v>5.6048351362884601</v>
      </c>
      <c r="B333" s="1">
        <v>9.0120575758402701</v>
      </c>
      <c r="C333" s="1">
        <v>8.2056926542591002E-2</v>
      </c>
      <c r="D333" s="1">
        <v>29.756509999999999</v>
      </c>
      <c r="E333" s="1">
        <v>19.770029999999998</v>
      </c>
      <c r="F333" s="1">
        <v>7.6999000000000004</v>
      </c>
      <c r="G333" s="1">
        <v>3.7936800000000002</v>
      </c>
      <c r="H333" s="1">
        <v>0.206535369986901</v>
      </c>
      <c r="I333" s="1">
        <v>0.29218</v>
      </c>
      <c r="J333" s="1">
        <v>2238566096000</v>
      </c>
      <c r="K333" s="1">
        <v>8434059436000</v>
      </c>
      <c r="L333">
        <v>28866081129000</v>
      </c>
      <c r="M333">
        <v>1853084894000</v>
      </c>
      <c r="N333">
        <v>5713272952000</v>
      </c>
      <c r="O333" s="1">
        <v>1550434339000</v>
      </c>
      <c r="P333" s="1">
        <v>5706833160000</v>
      </c>
      <c r="Q333">
        <v>11453040378000</v>
      </c>
      <c r="R333">
        <v>3018980942000</v>
      </c>
      <c r="S333">
        <v>2269895074000</v>
      </c>
      <c r="T333">
        <v>0.49996000000000002</v>
      </c>
      <c r="U333">
        <f t="shared" si="35"/>
        <v>1.0266397288878686</v>
      </c>
      <c r="V333">
        <f t="shared" si="36"/>
        <v>-3.3996343150286847</v>
      </c>
      <c r="W333">
        <f t="shared" si="37"/>
        <v>0.80762935470488051</v>
      </c>
      <c r="X333">
        <f t="shared" si="38"/>
        <v>0</v>
      </c>
      <c r="Y333">
        <f t="shared" si="39"/>
        <v>0</v>
      </c>
      <c r="Z333">
        <f t="shared" si="40"/>
        <v>0</v>
      </c>
      <c r="AA333">
        <f t="shared" si="41"/>
        <v>0</v>
      </c>
    </row>
    <row r="334" spans="1:27" x14ac:dyDescent="0.35">
      <c r="A334" s="1">
        <v>6.1583438588001496</v>
      </c>
      <c r="B334" s="1">
        <v>9.2271971588231096</v>
      </c>
      <c r="C334" s="1">
        <v>8.7507974818065007E-2</v>
      </c>
      <c r="D334" s="1">
        <v>30.296399999999998</v>
      </c>
      <c r="E334" s="1">
        <v>20.51126</v>
      </c>
      <c r="F334" s="1">
        <v>7.9531999999999998</v>
      </c>
      <c r="G334" s="1">
        <v>4.6529199999999999</v>
      </c>
      <c r="H334" s="1">
        <v>0.20136565629417899</v>
      </c>
      <c r="I334" s="1">
        <v>0.31435999999999997</v>
      </c>
      <c r="J334" s="1">
        <v>2719573422000</v>
      </c>
      <c r="K334" s="1">
        <v>9619966015000</v>
      </c>
      <c r="L334">
        <v>30602179916000</v>
      </c>
      <c r="M334">
        <v>2178296333000</v>
      </c>
      <c r="N334">
        <v>5987432707000</v>
      </c>
      <c r="O334" s="1">
        <v>1831130001000</v>
      </c>
      <c r="P334" s="1">
        <v>6276892348000</v>
      </c>
      <c r="Q334">
        <v>12253466079000</v>
      </c>
      <c r="R334">
        <v>2633500064000</v>
      </c>
      <c r="S334">
        <v>2601973545000</v>
      </c>
      <c r="T334">
        <v>0.51558000000000004</v>
      </c>
      <c r="U334">
        <f t="shared" si="35"/>
        <v>1.2089950302136507</v>
      </c>
      <c r="V334">
        <f t="shared" si="36"/>
        <v>-3.3815112034230697</v>
      </c>
      <c r="W334">
        <f t="shared" si="37"/>
        <v>0.86607177266155655</v>
      </c>
      <c r="X334">
        <f t="shared" si="38"/>
        <v>0</v>
      </c>
      <c r="Y334">
        <f t="shared" si="39"/>
        <v>0</v>
      </c>
      <c r="Z334">
        <f t="shared" si="40"/>
        <v>0</v>
      </c>
      <c r="AA334">
        <f t="shared" si="41"/>
        <v>0</v>
      </c>
    </row>
    <row r="335" spans="1:27" x14ac:dyDescent="0.35">
      <c r="A335" s="1">
        <v>7.5241119494516102</v>
      </c>
      <c r="B335" s="1">
        <v>11.5657530840863</v>
      </c>
      <c r="C335" s="1">
        <v>8.4036227278491998E-2</v>
      </c>
      <c r="D335" s="1">
        <v>27.014949999999999</v>
      </c>
      <c r="E335" s="1">
        <v>18.826049999999999</v>
      </c>
      <c r="F335" s="1">
        <v>8.0569900000000008</v>
      </c>
      <c r="G335" s="1">
        <v>5.1558799999999998</v>
      </c>
      <c r="H335" s="1">
        <v>0.19586630381391701</v>
      </c>
      <c r="I335" s="1">
        <v>0.32171</v>
      </c>
      <c r="J335" s="1">
        <v>2734231333000</v>
      </c>
      <c r="K335" s="1">
        <v>10523285580000</v>
      </c>
      <c r="L335">
        <v>32710786983000</v>
      </c>
      <c r="M335">
        <v>2769424026000</v>
      </c>
      <c r="N335">
        <v>6200438405000</v>
      </c>
      <c r="O335" s="1">
        <v>2381869254000</v>
      </c>
      <c r="P335" s="1">
        <v>6158149220000</v>
      </c>
      <c r="Q335">
        <v>13055426298000</v>
      </c>
      <c r="R335">
        <v>2532140718000</v>
      </c>
      <c r="S335">
        <v>2660291438000</v>
      </c>
      <c r="T335">
        <v>0.53713999999999995</v>
      </c>
      <c r="U335">
        <f t="shared" si="35"/>
        <v>1.3787029750636159</v>
      </c>
      <c r="V335">
        <f t="shared" si="36"/>
        <v>-3.5339636724323773</v>
      </c>
      <c r="W335">
        <f t="shared" si="37"/>
        <v>0.86582074722830593</v>
      </c>
      <c r="X335">
        <f t="shared" si="38"/>
        <v>0</v>
      </c>
      <c r="Y335">
        <f t="shared" si="39"/>
        <v>0</v>
      </c>
      <c r="Z335">
        <f t="shared" si="40"/>
        <v>0</v>
      </c>
      <c r="AA335">
        <f t="shared" si="41"/>
        <v>0</v>
      </c>
    </row>
    <row r="336" spans="1:27" x14ac:dyDescent="0.35">
      <c r="A336">
        <v>7.1141047599416503</v>
      </c>
      <c r="B336" s="1">
        <v>10.4258313252533</v>
      </c>
      <c r="C336">
        <v>8.5219325296329002E-2</v>
      </c>
      <c r="D336">
        <v>26.064409999999999</v>
      </c>
      <c r="E336">
        <v>18.231999999999999</v>
      </c>
      <c r="F336">
        <v>8.5269300000000001</v>
      </c>
      <c r="G336">
        <v>4.7688800000000002</v>
      </c>
      <c r="H336">
        <v>0.195964321223904</v>
      </c>
      <c r="I336">
        <v>0.33111000000000002</v>
      </c>
      <c r="J336">
        <v>3353984668000</v>
      </c>
      <c r="K336">
        <v>11711878912000</v>
      </c>
      <c r="L336">
        <v>35371085149000</v>
      </c>
      <c r="M336">
        <v>2854457309000</v>
      </c>
      <c r="N336">
        <v>6670808930000</v>
      </c>
      <c r="O336" s="1">
        <v>2421707853000</v>
      </c>
      <c r="P336" s="1">
        <v>6448855593000</v>
      </c>
      <c r="Q336">
        <v>14819401204000</v>
      </c>
      <c r="R336">
        <v>3107522292000</v>
      </c>
      <c r="S336">
        <v>2900945604000</v>
      </c>
      <c r="T336">
        <v>0.54313999999999996</v>
      </c>
      <c r="U336">
        <f t="shared" si="35"/>
        <v>1.2745228277970868</v>
      </c>
      <c r="V336">
        <f t="shared" si="36"/>
        <v>-3.5497964570359182</v>
      </c>
      <c r="W336">
        <f t="shared" si="37"/>
        <v>0.88361208281563308</v>
      </c>
      <c r="X336">
        <f t="shared" si="38"/>
        <v>0</v>
      </c>
      <c r="Y336">
        <f t="shared" si="39"/>
        <v>0</v>
      </c>
      <c r="Z336">
        <f t="shared" si="40"/>
        <v>0</v>
      </c>
      <c r="AA336">
        <f t="shared" si="41"/>
        <v>0</v>
      </c>
    </row>
    <row r="337" spans="1:27" x14ac:dyDescent="0.35">
      <c r="A337" s="1" t="s">
        <v>3</v>
      </c>
      <c r="B337" s="1" t="s">
        <v>3</v>
      </c>
      <c r="C337" s="1" t="s">
        <v>3</v>
      </c>
      <c r="D337" s="1" t="s">
        <v>3</v>
      </c>
      <c r="E337" s="1" t="s">
        <v>3</v>
      </c>
      <c r="F337" s="1" t="s">
        <v>3</v>
      </c>
      <c r="G337" s="1" t="s">
        <v>3</v>
      </c>
      <c r="H337" s="1" t="s">
        <v>3</v>
      </c>
      <c r="I337" s="1" t="s">
        <v>3</v>
      </c>
      <c r="J337" s="1" t="s">
        <v>3</v>
      </c>
      <c r="K337" s="1" t="s">
        <v>3</v>
      </c>
      <c r="L337" s="1" t="s">
        <v>3</v>
      </c>
      <c r="M337" s="1" t="s">
        <v>3</v>
      </c>
      <c r="N337" s="1" t="s">
        <v>3</v>
      </c>
      <c r="O337" s="1" t="s">
        <v>3</v>
      </c>
      <c r="P337" s="1" t="s">
        <v>3</v>
      </c>
      <c r="Q337" s="1" t="s">
        <v>3</v>
      </c>
      <c r="R337" s="1" t="s">
        <v>3</v>
      </c>
      <c r="S337" s="1" t="s">
        <v>3</v>
      </c>
      <c r="T337" s="1" t="s">
        <v>3</v>
      </c>
      <c r="U337" t="e">
        <f t="shared" si="35"/>
        <v>#VALUE!</v>
      </c>
      <c r="V337" t="e">
        <f t="shared" si="36"/>
        <v>#VALUE!</v>
      </c>
      <c r="W337" t="e">
        <f t="shared" si="37"/>
        <v>#VALUE!</v>
      </c>
      <c r="X337" t="e">
        <f t="shared" si="38"/>
        <v>#VALUE!</v>
      </c>
      <c r="Y337" t="e">
        <f t="shared" si="39"/>
        <v>#VALUE!</v>
      </c>
      <c r="Z337" t="e">
        <f t="shared" si="40"/>
        <v>#VALUE!</v>
      </c>
      <c r="AA337" t="e">
        <f t="shared" si="41"/>
        <v>#VALUE!</v>
      </c>
    </row>
    <row r="338" spans="1:27" x14ac:dyDescent="0.35">
      <c r="A338" s="1">
        <v>-9.0246675533094596</v>
      </c>
      <c r="B338" s="1">
        <v>-16.509130926219299</v>
      </c>
      <c r="C338" s="1">
        <v>-3.1952260407792997E-2</v>
      </c>
      <c r="D338" s="1">
        <v>0</v>
      </c>
      <c r="E338" s="1">
        <v>0</v>
      </c>
      <c r="F338" s="1">
        <v>-61.391159999999999</v>
      </c>
      <c r="G338" s="1">
        <v>1.41612</v>
      </c>
      <c r="H338" s="1">
        <v>1.7151638754322001</v>
      </c>
      <c r="I338" s="1">
        <v>0.19450999999999999</v>
      </c>
      <c r="J338" s="1">
        <v>483155000</v>
      </c>
      <c r="K338" s="1">
        <v>24376722000</v>
      </c>
      <c r="L338" s="1">
        <v>125324061000</v>
      </c>
      <c r="M338" s="1">
        <v>-3058792000</v>
      </c>
      <c r="N338" s="1">
        <v>224753775000</v>
      </c>
      <c r="O338" s="1">
        <v>-11825856000</v>
      </c>
      <c r="P338" s="1">
        <v>0</v>
      </c>
      <c r="Q338" s="1">
        <v>82957763000</v>
      </c>
      <c r="R338" s="1">
        <v>58581041000</v>
      </c>
      <c r="S338" s="1">
        <v>-4187000000</v>
      </c>
      <c r="T338" s="1">
        <v>-0.35648999999999997</v>
      </c>
      <c r="U338">
        <f t="shared" si="35"/>
        <v>0.78066862582990004</v>
      </c>
      <c r="V338">
        <f t="shared" si="36"/>
        <v>-3.8697055535151827</v>
      </c>
      <c r="W338">
        <f t="shared" si="37"/>
        <v>0.26270534818529379</v>
      </c>
      <c r="X338">
        <f t="shared" si="38"/>
        <v>1</v>
      </c>
      <c r="Y338">
        <f t="shared" si="39"/>
        <v>0</v>
      </c>
      <c r="Z338">
        <f t="shared" si="40"/>
        <v>0</v>
      </c>
      <c r="AA338">
        <f t="shared" si="41"/>
        <v>0</v>
      </c>
    </row>
    <row r="339" spans="1:27" x14ac:dyDescent="0.35">
      <c r="A339" s="1">
        <v>-55.0128106820517</v>
      </c>
      <c r="B339" s="1">
        <v>-135.453348052731</v>
      </c>
      <c r="C339" s="1">
        <v>-0.53141641750028501</v>
      </c>
      <c r="D339" s="1">
        <v>23.980170000000001</v>
      </c>
      <c r="E339" s="1">
        <v>4.6297600000000001</v>
      </c>
      <c r="F339" s="1">
        <v>-291.86824999999999</v>
      </c>
      <c r="G339" s="1">
        <v>0.70350000000000001</v>
      </c>
      <c r="H339" s="1">
        <v>2.0770310499259401</v>
      </c>
      <c r="I339" s="1">
        <v>-0.22495000000000001</v>
      </c>
      <c r="J339" s="1">
        <v>-4128710000</v>
      </c>
      <c r="K339" s="1">
        <v>-14966677000</v>
      </c>
      <c r="L339" s="1">
        <v>66533015000</v>
      </c>
      <c r="M339" s="1">
        <v>-52963257000</v>
      </c>
      <c r="N339" s="1">
        <v>199246552000</v>
      </c>
      <c r="O339" s="1">
        <v>-52772985000</v>
      </c>
      <c r="P339" s="1">
        <v>3080320000</v>
      </c>
      <c r="Q339" s="1">
        <v>35511645000</v>
      </c>
      <c r="R339" s="1">
        <v>50478322000</v>
      </c>
      <c r="S339" s="1">
        <v>-50978000000</v>
      </c>
      <c r="T339" s="1">
        <v>-1.45706</v>
      </c>
      <c r="U339">
        <f t="shared" si="35"/>
        <v>-2.078561834412664</v>
      </c>
      <c r="V339">
        <f t="shared" si="36"/>
        <v>-0.46395738008906556</v>
      </c>
      <c r="W339">
        <f t="shared" si="37"/>
        <v>-2.9350257906544588</v>
      </c>
      <c r="X339">
        <f t="shared" si="38"/>
        <v>1</v>
      </c>
      <c r="Y339">
        <f t="shared" si="39"/>
        <v>0</v>
      </c>
      <c r="Z339">
        <f t="shared" si="40"/>
        <v>1</v>
      </c>
      <c r="AA339">
        <f t="shared" si="41"/>
        <v>1</v>
      </c>
    </row>
    <row r="340" spans="1:27" x14ac:dyDescent="0.35">
      <c r="A340" s="1">
        <v>1.58030411339837</v>
      </c>
      <c r="B340" s="1">
        <v>8.7147444825824198</v>
      </c>
      <c r="C340" s="1">
        <v>1.6613761538099001E-2</v>
      </c>
      <c r="D340" s="1">
        <v>26.073830000000001</v>
      </c>
      <c r="E340" s="1">
        <v>5.7134299999999998</v>
      </c>
      <c r="F340" s="1">
        <v>1.49881</v>
      </c>
      <c r="G340" s="1">
        <v>0.85214999999999996</v>
      </c>
      <c r="H340" s="1">
        <v>2.0095827400570401</v>
      </c>
      <c r="I340" s="1">
        <v>-0.10538</v>
      </c>
      <c r="J340" s="1">
        <v>-941308000</v>
      </c>
      <c r="K340" s="1">
        <v>-6671113000</v>
      </c>
      <c r="L340" s="1">
        <v>63302501000</v>
      </c>
      <c r="M340" s="1">
        <v>1315788000</v>
      </c>
      <c r="N340" s="1">
        <v>130457606000</v>
      </c>
      <c r="O340" s="1">
        <v>1025897999.9999999</v>
      </c>
      <c r="P340" s="1">
        <v>3616747000</v>
      </c>
      <c r="Q340" s="1">
        <v>38448424000</v>
      </c>
      <c r="R340" s="1">
        <v>45119537000</v>
      </c>
      <c r="S340" s="1">
        <v>1078528151</v>
      </c>
      <c r="T340" s="1">
        <v>-1.5135000000000001</v>
      </c>
      <c r="U340">
        <f t="shared" si="35"/>
        <v>0.78735067316307605</v>
      </c>
      <c r="V340">
        <f t="shared" si="36"/>
        <v>-4.0438539001532785</v>
      </c>
      <c r="W340">
        <f t="shared" si="37"/>
        <v>-5.8629116391404487E-2</v>
      </c>
      <c r="X340">
        <f t="shared" si="38"/>
        <v>1</v>
      </c>
      <c r="Y340">
        <f t="shared" si="39"/>
        <v>0</v>
      </c>
      <c r="Z340">
        <f t="shared" si="40"/>
        <v>1</v>
      </c>
      <c r="AA340">
        <f t="shared" si="41"/>
        <v>1</v>
      </c>
    </row>
    <row r="341" spans="1:27" x14ac:dyDescent="0.35">
      <c r="A341" s="1">
        <v>1.89541120362569</v>
      </c>
      <c r="B341" s="1">
        <v>9.8581619633144992</v>
      </c>
      <c r="C341" s="1">
        <v>1.1902402567243999E-2</v>
      </c>
      <c r="D341" s="1">
        <v>19.298559999999998</v>
      </c>
      <c r="E341" s="1">
        <v>4.10792</v>
      </c>
      <c r="F341" s="1">
        <v>1.2919</v>
      </c>
      <c r="G341" s="1">
        <v>0.83394000000000001</v>
      </c>
      <c r="H341" s="1">
        <v>2.0627478782037398</v>
      </c>
      <c r="I341" s="1">
        <v>-0.12197</v>
      </c>
      <c r="J341" s="1">
        <v>7833396000</v>
      </c>
      <c r="K341" s="1">
        <v>-8678426000</v>
      </c>
      <c r="L341" s="1">
        <v>71151384000</v>
      </c>
      <c r="M341" s="1">
        <v>1346940000</v>
      </c>
      <c r="N341" s="1">
        <v>138672233000</v>
      </c>
      <c r="O341" s="1">
        <v>1274227000</v>
      </c>
      <c r="P341" s="1">
        <v>2922845000</v>
      </c>
      <c r="Q341" s="1">
        <v>43582657000</v>
      </c>
      <c r="R341" s="1">
        <v>52261083000</v>
      </c>
      <c r="S341" s="1">
        <v>800162133</v>
      </c>
      <c r="T341" s="1">
        <v>-1.32674</v>
      </c>
      <c r="U341">
        <f t="shared" si="35"/>
        <v>0.70549468992419062</v>
      </c>
      <c r="V341">
        <f t="shared" si="36"/>
        <v>-4.1431015873148658</v>
      </c>
      <c r="W341">
        <f t="shared" si="37"/>
        <v>-0.10568500648234755</v>
      </c>
      <c r="X341">
        <f t="shared" si="38"/>
        <v>1</v>
      </c>
      <c r="Y341">
        <f t="shared" si="39"/>
        <v>0</v>
      </c>
      <c r="Z341">
        <f t="shared" si="40"/>
        <v>1</v>
      </c>
      <c r="AA341">
        <f t="shared" si="41"/>
        <v>1</v>
      </c>
    </row>
    <row r="342" spans="1:27" x14ac:dyDescent="0.35">
      <c r="A342" s="1">
        <v>-65.661500559657298</v>
      </c>
      <c r="B342" s="1">
        <v>-3750.3317780666898</v>
      </c>
      <c r="C342" s="1">
        <v>-0.67409540790641898</v>
      </c>
      <c r="D342" s="1" t="s">
        <v>3</v>
      </c>
      <c r="E342" s="1">
        <v>2.2374299999999998</v>
      </c>
      <c r="F342" s="1">
        <v>-30.44774</v>
      </c>
      <c r="G342" s="1">
        <v>0.16592999999999999</v>
      </c>
      <c r="H342" s="1">
        <v>1.6062641230424699</v>
      </c>
      <c r="I342" s="1">
        <v>-1.45109</v>
      </c>
      <c r="J342" s="1">
        <v>-1465245695</v>
      </c>
      <c r="K342" s="1">
        <v>-24212753364</v>
      </c>
      <c r="L342" s="1">
        <v>16685905828</v>
      </c>
      <c r="M342" s="1">
        <v>-29596119037</v>
      </c>
      <c r="N342" s="1">
        <v>70544943658</v>
      </c>
      <c r="O342" s="1">
        <v>-28837641276</v>
      </c>
      <c r="P342" s="1">
        <v>373334993</v>
      </c>
      <c r="Q342" s="1">
        <v>4816976915</v>
      </c>
      <c r="R342" s="1">
        <v>29029730279</v>
      </c>
      <c r="S342" s="1">
        <v>-29605356858</v>
      </c>
      <c r="T342" s="1">
        <v>-7.3639299999999999</v>
      </c>
      <c r="U342">
        <f t="shared" si="35"/>
        <v>-5.9233923382866704</v>
      </c>
      <c r="V342">
        <f t="shared" si="36"/>
        <v>3.6053826325552607</v>
      </c>
      <c r="W342">
        <f t="shared" si="37"/>
        <v>-8.4045771844237454</v>
      </c>
      <c r="X342">
        <f t="shared" si="38"/>
        <v>1</v>
      </c>
      <c r="Y342">
        <f t="shared" si="39"/>
        <v>1</v>
      </c>
      <c r="Z342">
        <f t="shared" si="40"/>
        <v>1</v>
      </c>
      <c r="AA342">
        <f t="shared" si="41"/>
        <v>1</v>
      </c>
    </row>
    <row r="343" spans="1:27" x14ac:dyDescent="0.35">
      <c r="A343" s="1">
        <v>-65.674147181025603</v>
      </c>
      <c r="B343" s="1" t="s">
        <v>3</v>
      </c>
      <c r="C343" s="1">
        <v>-0.66554734691558903</v>
      </c>
      <c r="D343" s="1" t="s">
        <v>3</v>
      </c>
      <c r="E343" s="1">
        <v>1.50267</v>
      </c>
      <c r="F343" s="1">
        <v>-64.465270000000004</v>
      </c>
      <c r="G343" s="1">
        <v>0.13488</v>
      </c>
      <c r="H343" s="1">
        <v>0.81254413415430304</v>
      </c>
      <c r="I343" s="1">
        <v>-2.0296599999999998</v>
      </c>
      <c r="J343" s="1">
        <v>1021251873</v>
      </c>
      <c r="K343" s="1">
        <v>-35282010908</v>
      </c>
      <c r="L343" s="1">
        <v>17383207396</v>
      </c>
      <c r="M343" s="1">
        <v>-11055207809</v>
      </c>
      <c r="N343" s="1">
        <v>13841329053</v>
      </c>
      <c r="O343" s="1">
        <v>-11187299781</v>
      </c>
      <c r="P343" s="1">
        <v>261212513</v>
      </c>
      <c r="Q343" s="1">
        <v>5500825520</v>
      </c>
      <c r="R343" s="1">
        <v>40782836428</v>
      </c>
      <c r="S343" s="1">
        <v>-11337303959</v>
      </c>
      <c r="T343" s="1">
        <v>-7.7040100000000002</v>
      </c>
      <c r="U343">
        <f t="shared" si="35"/>
        <v>-3.9532108353579658</v>
      </c>
      <c r="V343">
        <f t="shared" si="36"/>
        <v>-1.3177460460555326</v>
      </c>
      <c r="W343">
        <f t="shared" si="37"/>
        <v>-5.5223211955492912</v>
      </c>
      <c r="X343">
        <f t="shared" si="38"/>
        <v>1</v>
      </c>
      <c r="Y343">
        <f t="shared" si="39"/>
        <v>0</v>
      </c>
      <c r="Z343">
        <f t="shared" si="40"/>
        <v>1</v>
      </c>
      <c r="AA343">
        <f t="shared" si="41"/>
        <v>1</v>
      </c>
    </row>
    <row r="344" spans="1:27" x14ac:dyDescent="0.35">
      <c r="A344" s="1">
        <v>-91.550321525423499</v>
      </c>
      <c r="B344" s="1" t="s">
        <v>3</v>
      </c>
      <c r="C344" s="1">
        <v>-1.04683206073957</v>
      </c>
      <c r="D344" s="1" t="s">
        <v>3</v>
      </c>
      <c r="E344" s="1">
        <v>1.96499</v>
      </c>
      <c r="F344" s="1">
        <v>-217.89259000000001</v>
      </c>
      <c r="G344" s="1">
        <v>7.3599999999999999E-2</v>
      </c>
      <c r="H344" s="1">
        <v>0.477308231905127</v>
      </c>
      <c r="I344" s="1">
        <v>-4.1082900000000002</v>
      </c>
      <c r="J344" s="1">
        <v>-32592671</v>
      </c>
      <c r="K344" s="1">
        <v>-43068458753</v>
      </c>
      <c r="L344" s="1">
        <v>10483305467</v>
      </c>
      <c r="M344" s="1">
        <v>-13841015689</v>
      </c>
      <c r="N344" s="1">
        <v>6650457992</v>
      </c>
      <c r="O344" s="1">
        <v>-12755941062</v>
      </c>
      <c r="P344" s="1">
        <v>205996035</v>
      </c>
      <c r="Q344" s="1">
        <v>3421459079</v>
      </c>
      <c r="R344" s="1">
        <v>46489917832</v>
      </c>
      <c r="S344" s="1">
        <v>-14585779543</v>
      </c>
      <c r="T344" s="1">
        <v>-13.987640000000001</v>
      </c>
      <c r="U344">
        <f t="shared" si="35"/>
        <v>-8.4456756085113156</v>
      </c>
      <c r="V344">
        <f t="shared" si="36"/>
        <v>1.287836629262324</v>
      </c>
      <c r="W344">
        <f t="shared" si="37"/>
        <v>-11.477248042704105</v>
      </c>
      <c r="X344">
        <f t="shared" si="38"/>
        <v>1</v>
      </c>
      <c r="Y344">
        <f t="shared" si="39"/>
        <v>1</v>
      </c>
      <c r="Z344">
        <f t="shared" si="40"/>
        <v>1</v>
      </c>
      <c r="AA344">
        <f t="shared" si="41"/>
        <v>1</v>
      </c>
    </row>
    <row r="345" spans="1:27" x14ac:dyDescent="0.35">
      <c r="A345" s="1">
        <v>-136.26113218816201</v>
      </c>
      <c r="B345" s="1" t="s">
        <v>3</v>
      </c>
      <c r="C345" s="1">
        <v>-1.32230695410043</v>
      </c>
      <c r="D345" s="1" t="s">
        <v>3</v>
      </c>
      <c r="E345" s="1">
        <v>1.25173</v>
      </c>
      <c r="F345" s="1">
        <v>-472.84570000000002</v>
      </c>
      <c r="G345" s="1">
        <v>2.18E-2</v>
      </c>
      <c r="H345" s="1">
        <v>0.641722720341109</v>
      </c>
      <c r="I345" s="1">
        <v>-7.7878699999999998</v>
      </c>
      <c r="J345" s="1">
        <v>-213330476</v>
      </c>
      <c r="K345" s="1">
        <v>-53088904782</v>
      </c>
      <c r="L345" s="1">
        <v>6816874399</v>
      </c>
      <c r="M345" s="1">
        <v>-11467350753</v>
      </c>
      <c r="N345" s="1">
        <v>5550959243</v>
      </c>
      <c r="O345" s="1">
        <v>-11786710477</v>
      </c>
      <c r="P345" s="1">
        <v>85329181</v>
      </c>
      <c r="Q345" s="1">
        <v>1183031793</v>
      </c>
      <c r="R345" s="1">
        <v>54271936575</v>
      </c>
      <c r="S345" s="1">
        <v>-11438074072</v>
      </c>
      <c r="T345" s="1">
        <v>-23.233899999999998</v>
      </c>
      <c r="U345">
        <f t="shared" si="35"/>
        <v>-12.986408794511998</v>
      </c>
      <c r="V345">
        <f t="shared" si="36"/>
        <v>3.5521569752046331</v>
      </c>
      <c r="W345">
        <f t="shared" si="37"/>
        <v>-18.532235620596037</v>
      </c>
      <c r="X345">
        <f t="shared" si="38"/>
        <v>1</v>
      </c>
      <c r="Y345">
        <f t="shared" si="39"/>
        <v>1</v>
      </c>
      <c r="Z345">
        <f t="shared" si="40"/>
        <v>1</v>
      </c>
      <c r="AA345">
        <f t="shared" si="41"/>
        <v>1</v>
      </c>
    </row>
    <row r="346" spans="1:27" x14ac:dyDescent="0.35">
      <c r="A346" s="1">
        <v>-95.439487537547805</v>
      </c>
      <c r="B346" s="1" t="s">
        <v>3</v>
      </c>
      <c r="C346" s="1">
        <v>-0.94505613382334697</v>
      </c>
      <c r="D346" s="1" t="s">
        <v>3</v>
      </c>
      <c r="E346" s="1">
        <v>69.575879999999998</v>
      </c>
      <c r="F346" s="1">
        <v>-907.09803999999997</v>
      </c>
      <c r="G346" s="1">
        <v>1.7250000000000001E-2</v>
      </c>
      <c r="H346" s="1">
        <v>4.8945777846971003E-2</v>
      </c>
      <c r="I346" s="1">
        <v>-10.64034</v>
      </c>
      <c r="J346" s="1">
        <v>-3436266946</v>
      </c>
      <c r="K346" s="1">
        <v>-54063809488</v>
      </c>
      <c r="L346" s="1">
        <v>5081024411</v>
      </c>
      <c r="M346" s="1">
        <v>-5680146622</v>
      </c>
      <c r="N346" s="1">
        <v>291175956</v>
      </c>
      <c r="O346" s="1">
        <v>-5677646826</v>
      </c>
      <c r="P346" s="1">
        <v>3535167530</v>
      </c>
      <c r="Q346" s="1">
        <v>949182725</v>
      </c>
      <c r="R346" s="1">
        <v>55012992213</v>
      </c>
      <c r="S346" s="1">
        <v>-5622091125</v>
      </c>
      <c r="T346" s="1">
        <v>-32.283169999999998</v>
      </c>
      <c r="U346">
        <f t="shared" si="35"/>
        <v>-14.401686942788984</v>
      </c>
      <c r="V346">
        <f t="shared" si="36"/>
        <v>4.6942918217074787</v>
      </c>
      <c r="W346">
        <f t="shared" si="37"/>
        <v>-21.283918173737934</v>
      </c>
      <c r="X346">
        <f t="shared" si="38"/>
        <v>1</v>
      </c>
      <c r="Y346">
        <f t="shared" si="39"/>
        <v>1</v>
      </c>
      <c r="Z346">
        <f t="shared" si="40"/>
        <v>1</v>
      </c>
      <c r="AA346">
        <f t="shared" si="41"/>
        <v>1</v>
      </c>
    </row>
    <row r="347" spans="1:27" x14ac:dyDescent="0.35">
      <c r="A347" s="1">
        <v>-72.101328065048193</v>
      </c>
      <c r="B347" s="1" t="s">
        <v>3</v>
      </c>
      <c r="C347" s="1">
        <v>-0.70361789818956999</v>
      </c>
      <c r="D347" s="1" t="s">
        <v>3</v>
      </c>
      <c r="E347" s="1">
        <v>137.35303999999999</v>
      </c>
      <c r="F347" s="1" t="s">
        <v>3</v>
      </c>
      <c r="G347" s="1">
        <v>1.119E-2</v>
      </c>
      <c r="H347" s="1">
        <v>2.047422182984E-2</v>
      </c>
      <c r="I347" s="1">
        <v>-8.0102499999999992</v>
      </c>
      <c r="J347" s="1">
        <v>-3312074809</v>
      </c>
      <c r="K347" s="1">
        <v>-55425077482</v>
      </c>
      <c r="L347" s="1">
        <v>6919269717</v>
      </c>
      <c r="M347" s="1">
        <v>-4207787813</v>
      </c>
      <c r="N347" s="1">
        <v>122848342</v>
      </c>
      <c r="O347" s="1">
        <v>-4326185719</v>
      </c>
      <c r="P347" s="1">
        <v>9503827367</v>
      </c>
      <c r="Q347" s="1">
        <v>627225541</v>
      </c>
      <c r="R347" s="1">
        <v>56052303023</v>
      </c>
      <c r="S347" s="1">
        <v>-4221810866</v>
      </c>
      <c r="T347" s="1">
        <v>-24.41741</v>
      </c>
      <c r="U347">
        <f t="shared" si="35"/>
        <v>-10.16616947370391</v>
      </c>
      <c r="V347">
        <f t="shared" si="36"/>
        <v>6.3427360756178395</v>
      </c>
      <c r="W347">
        <f t="shared" si="37"/>
        <v>-15.24687531280969</v>
      </c>
      <c r="X347">
        <f t="shared" si="38"/>
        <v>1</v>
      </c>
      <c r="Y347">
        <f t="shared" si="39"/>
        <v>1</v>
      </c>
      <c r="Z347">
        <f t="shared" si="40"/>
        <v>1</v>
      </c>
      <c r="AA347">
        <f t="shared" si="41"/>
        <v>1</v>
      </c>
    </row>
    <row r="348" spans="1:27" x14ac:dyDescent="0.35">
      <c r="A348" s="1">
        <v>-0.14117592656724301</v>
      </c>
      <c r="B348" s="1">
        <v>-0.16799441320234401</v>
      </c>
      <c r="C348" s="1">
        <v>-9.4691538609899999E-4</v>
      </c>
      <c r="D348" s="1">
        <v>4.3335699999999999</v>
      </c>
      <c r="E348" s="1">
        <v>4.1082700000000001</v>
      </c>
      <c r="F348" s="1" t="s">
        <v>3</v>
      </c>
      <c r="G348" s="1">
        <v>12.63744</v>
      </c>
      <c r="H348" s="1">
        <v>2.9625197351999999E-5</v>
      </c>
      <c r="I348" s="1">
        <v>0.12214999999999999</v>
      </c>
      <c r="J348" s="1">
        <v>-5537417688</v>
      </c>
      <c r="K348" s="1">
        <v>817135387534</v>
      </c>
      <c r="L348" s="1">
        <v>6689497150470</v>
      </c>
      <c r="M348" s="1">
        <v>-4381832465</v>
      </c>
      <c r="N348" s="1">
        <v>99191329</v>
      </c>
      <c r="O348" s="1">
        <v>-4726863964</v>
      </c>
      <c r="P348" s="1">
        <v>274822459508</v>
      </c>
      <c r="Q348" s="1">
        <v>887351471279</v>
      </c>
      <c r="R348" s="1">
        <v>70216083745</v>
      </c>
      <c r="S348" s="1">
        <v>-3170469870</v>
      </c>
      <c r="T348" s="1">
        <v>0.1066</v>
      </c>
      <c r="U348">
        <f t="shared" si="35"/>
        <v>8.3180183144716327E-2</v>
      </c>
      <c r="V348">
        <f t="shared" si="36"/>
        <v>-4.012099233924709</v>
      </c>
      <c r="W348">
        <f t="shared" si="37"/>
        <v>0.25692616038056471</v>
      </c>
      <c r="X348">
        <f t="shared" si="38"/>
        <v>1</v>
      </c>
      <c r="Y348">
        <f t="shared" si="39"/>
        <v>0</v>
      </c>
      <c r="Z348">
        <f t="shared" si="40"/>
        <v>0</v>
      </c>
      <c r="AA348">
        <f t="shared" si="41"/>
        <v>0</v>
      </c>
    </row>
    <row r="349" spans="1:27" x14ac:dyDescent="0.35">
      <c r="A349" s="1">
        <v>-35.7938832977472</v>
      </c>
      <c r="B349" s="1">
        <v>-40.688985979694401</v>
      </c>
      <c r="C349" s="1">
        <v>-3.7648026501500001E-3</v>
      </c>
      <c r="D349" s="1">
        <v>4.3363399999999999</v>
      </c>
      <c r="E349" s="1">
        <v>4.0864599999999998</v>
      </c>
      <c r="F349" s="1">
        <v>-389.89328999999998</v>
      </c>
      <c r="G349" s="1">
        <v>12.11988</v>
      </c>
      <c r="H349" s="1">
        <v>2.282511535234E-3</v>
      </c>
      <c r="I349" s="1">
        <v>0.17774000000000001</v>
      </c>
      <c r="J349" s="1">
        <v>-132331957629</v>
      </c>
      <c r="K349" s="1">
        <v>852222536202</v>
      </c>
      <c r="L349" s="1">
        <v>4794706284810</v>
      </c>
      <c r="M349" s="1">
        <v>-2052165651261</v>
      </c>
      <c r="N349" s="1">
        <v>13106413407</v>
      </c>
      <c r="O349" s="1">
        <v>-2055321187650</v>
      </c>
      <c r="P349" s="1">
        <v>195933690513</v>
      </c>
      <c r="Q349" s="1">
        <v>928862105682</v>
      </c>
      <c r="R349" s="1">
        <v>76639569480</v>
      </c>
      <c r="S349" s="1">
        <v>-21617879764</v>
      </c>
      <c r="T349" s="1">
        <v>-0.27056000000000002</v>
      </c>
      <c r="U349">
        <f t="shared" si="35"/>
        <v>-17.502389428125166</v>
      </c>
      <c r="V349">
        <f t="shared" si="36"/>
        <v>-2.0896013352960274</v>
      </c>
      <c r="W349">
        <f t="shared" si="37"/>
        <v>0.32806869656057502</v>
      </c>
      <c r="X349">
        <f t="shared" si="38"/>
        <v>1</v>
      </c>
      <c r="Y349">
        <f t="shared" si="39"/>
        <v>0</v>
      </c>
      <c r="Z349">
        <f t="shared" si="40"/>
        <v>0</v>
      </c>
      <c r="AA349">
        <f t="shared" si="41"/>
        <v>0</v>
      </c>
    </row>
    <row r="350" spans="1:27" x14ac:dyDescent="0.35">
      <c r="A350" s="1">
        <v>1.1460610035780701</v>
      </c>
      <c r="B350" s="1">
        <v>1.33211483742062</v>
      </c>
      <c r="C350" s="1">
        <v>9.3190104739190004E-3</v>
      </c>
      <c r="D350" s="1">
        <v>4.0112100000000002</v>
      </c>
      <c r="E350" s="1">
        <v>3.4838399999999998</v>
      </c>
      <c r="F350" s="1">
        <v>454.34924000000001</v>
      </c>
      <c r="G350" s="1">
        <v>2.4456099999999998</v>
      </c>
      <c r="H350" s="1">
        <v>5.2858579454061999E-2</v>
      </c>
      <c r="I350" s="1">
        <v>0.13894999999999999</v>
      </c>
      <c r="J350" s="1">
        <v>97453804968</v>
      </c>
      <c r="K350" s="1">
        <v>824185388116</v>
      </c>
      <c r="L350" s="1">
        <v>5931495055102</v>
      </c>
      <c r="M350" s="1">
        <v>81106262309</v>
      </c>
      <c r="N350" s="1">
        <v>283485882883</v>
      </c>
      <c r="O350" s="1">
        <v>61464405361</v>
      </c>
      <c r="P350" s="1">
        <v>206644013400</v>
      </c>
      <c r="Q350" s="1">
        <v>1394314920237</v>
      </c>
      <c r="R350" s="1">
        <v>570129532121</v>
      </c>
      <c r="S350" s="1">
        <v>49978791316</v>
      </c>
      <c r="T350" s="1">
        <v>-0.20863000000000001</v>
      </c>
      <c r="U350">
        <f t="shared" si="35"/>
        <v>0.28199555627026807</v>
      </c>
      <c r="V350">
        <f t="shared" si="36"/>
        <v>-4.1382691790280592</v>
      </c>
      <c r="W350">
        <f t="shared" si="37"/>
        <v>0.31511656459191162</v>
      </c>
      <c r="X350">
        <f t="shared" si="38"/>
        <v>1</v>
      </c>
      <c r="Y350">
        <f t="shared" si="39"/>
        <v>0</v>
      </c>
      <c r="Z350">
        <f t="shared" si="40"/>
        <v>0</v>
      </c>
      <c r="AA350">
        <f t="shared" si="41"/>
        <v>0</v>
      </c>
    </row>
    <row r="351" spans="1:27" x14ac:dyDescent="0.35">
      <c r="A351" s="1">
        <v>1.87072565482058</v>
      </c>
      <c r="B351" s="1">
        <v>2.33475684479051</v>
      </c>
      <c r="C351" s="1">
        <v>1.9331892057097001E-2</v>
      </c>
      <c r="D351" s="1">
        <v>0.19558</v>
      </c>
      <c r="E351" s="1">
        <v>0.16300000000000001</v>
      </c>
      <c r="F351" s="1">
        <v>13.034190000000001</v>
      </c>
      <c r="G351" s="1">
        <v>0.31568000000000002</v>
      </c>
      <c r="H351" s="1">
        <v>8.1877340289470996E-2</v>
      </c>
      <c r="I351" s="1">
        <v>-0.11252</v>
      </c>
      <c r="J351" s="1">
        <v>-716990454999</v>
      </c>
      <c r="K351" s="1">
        <v>-732994130549</v>
      </c>
      <c r="L351" s="1">
        <v>6514551004299</v>
      </c>
      <c r="M351" s="1">
        <v>118686515375</v>
      </c>
      <c r="N351" s="1">
        <v>509524574232</v>
      </c>
      <c r="O351" s="1">
        <v>116415688322</v>
      </c>
      <c r="P351" s="1">
        <v>10618453148</v>
      </c>
      <c r="Q351" s="1">
        <v>338133699860</v>
      </c>
      <c r="R351" s="1">
        <v>1071127830409</v>
      </c>
      <c r="S351" s="1">
        <v>120302809479</v>
      </c>
      <c r="T351" s="1">
        <v>-0.17277000000000001</v>
      </c>
      <c r="U351">
        <f t="shared" si="35"/>
        <v>4.5217831783607686E-2</v>
      </c>
      <c r="V351">
        <f t="shared" si="36"/>
        <v>-4.3698619688059246</v>
      </c>
      <c r="W351">
        <f t="shared" si="37"/>
        <v>-6.550528093179897E-2</v>
      </c>
      <c r="X351">
        <f t="shared" si="38"/>
        <v>1</v>
      </c>
      <c r="Y351">
        <f t="shared" si="39"/>
        <v>0</v>
      </c>
      <c r="Z351">
        <f t="shared" si="40"/>
        <v>1</v>
      </c>
      <c r="AA351">
        <f t="shared" si="41"/>
        <v>1</v>
      </c>
    </row>
    <row r="352" spans="1:27" x14ac:dyDescent="0.35">
      <c r="A352" s="1" t="s">
        <v>3</v>
      </c>
      <c r="B352" s="1" t="s">
        <v>3</v>
      </c>
      <c r="C352" s="1" t="s">
        <v>3</v>
      </c>
      <c r="D352" s="1" t="s">
        <v>3</v>
      </c>
      <c r="E352" s="1" t="s">
        <v>3</v>
      </c>
      <c r="F352" s="1" t="s">
        <v>3</v>
      </c>
      <c r="G352" s="1" t="s">
        <v>3</v>
      </c>
      <c r="H352" s="1" t="s">
        <v>3</v>
      </c>
      <c r="I352" s="1" t="s">
        <v>3</v>
      </c>
      <c r="J352" s="1" t="s">
        <v>3</v>
      </c>
      <c r="K352" s="1" t="s">
        <v>3</v>
      </c>
      <c r="L352" s="1" t="s">
        <v>3</v>
      </c>
      <c r="M352" s="1" t="s">
        <v>3</v>
      </c>
      <c r="N352" s="1" t="s">
        <v>3</v>
      </c>
      <c r="O352" s="1" t="s">
        <v>3</v>
      </c>
      <c r="P352" s="1" t="s">
        <v>3</v>
      </c>
      <c r="Q352" s="1" t="s">
        <v>3</v>
      </c>
      <c r="R352" s="1" t="s">
        <v>3</v>
      </c>
      <c r="S352" s="1" t="s">
        <v>3</v>
      </c>
      <c r="T352" s="1" t="s">
        <v>3</v>
      </c>
      <c r="U352" t="e">
        <f t="shared" si="35"/>
        <v>#VALUE!</v>
      </c>
      <c r="V352" t="e">
        <f t="shared" si="36"/>
        <v>#VALUE!</v>
      </c>
      <c r="W352" t="e">
        <f t="shared" si="37"/>
        <v>#VALUE!</v>
      </c>
      <c r="X352" t="e">
        <f t="shared" si="38"/>
        <v>#VALUE!</v>
      </c>
      <c r="Y352" t="e">
        <f t="shared" si="39"/>
        <v>#VALUE!</v>
      </c>
      <c r="Z352" t="e">
        <f t="shared" si="40"/>
        <v>#VALUE!</v>
      </c>
      <c r="AA352" t="e">
        <f t="shared" si="41"/>
        <v>#VALUE!</v>
      </c>
    </row>
    <row r="353" spans="1:27" x14ac:dyDescent="0.35">
      <c r="A353" s="1" t="s">
        <v>3</v>
      </c>
      <c r="B353" s="1" t="s">
        <v>3</v>
      </c>
      <c r="C353" s="1" t="s">
        <v>3</v>
      </c>
      <c r="D353" s="1" t="s">
        <v>3</v>
      </c>
      <c r="E353" s="1" t="s">
        <v>3</v>
      </c>
      <c r="F353" s="1" t="s">
        <v>3</v>
      </c>
      <c r="G353" s="1" t="s">
        <v>3</v>
      </c>
      <c r="H353" s="1" t="s">
        <v>3</v>
      </c>
      <c r="I353" s="1" t="s">
        <v>3</v>
      </c>
      <c r="J353" s="1" t="s">
        <v>3</v>
      </c>
      <c r="K353" s="1" t="s">
        <v>3</v>
      </c>
      <c r="L353" s="1" t="s">
        <v>3</v>
      </c>
      <c r="M353" s="1" t="s">
        <v>3</v>
      </c>
      <c r="N353" s="1" t="s">
        <v>3</v>
      </c>
      <c r="O353" s="1" t="s">
        <v>3</v>
      </c>
      <c r="P353" s="1" t="s">
        <v>3</v>
      </c>
      <c r="Q353" s="1" t="s">
        <v>3</v>
      </c>
      <c r="R353" s="1" t="s">
        <v>3</v>
      </c>
      <c r="S353" s="1" t="s">
        <v>3</v>
      </c>
      <c r="T353" s="1" t="s">
        <v>3</v>
      </c>
      <c r="U353" t="e">
        <f t="shared" si="35"/>
        <v>#VALUE!</v>
      </c>
      <c r="V353" t="e">
        <f t="shared" si="36"/>
        <v>#VALUE!</v>
      </c>
      <c r="W353" t="e">
        <f t="shared" si="37"/>
        <v>#VALUE!</v>
      </c>
      <c r="X353" t="e">
        <f t="shared" si="38"/>
        <v>#VALUE!</v>
      </c>
      <c r="Y353" t="e">
        <f t="shared" si="39"/>
        <v>#VALUE!</v>
      </c>
      <c r="Z353" t="e">
        <f t="shared" si="40"/>
        <v>#VALUE!</v>
      </c>
      <c r="AA353" t="e">
        <f t="shared" si="41"/>
        <v>#VALUE!</v>
      </c>
    </row>
    <row r="354" spans="1:27" x14ac:dyDescent="0.35">
      <c r="A354" s="1" t="s">
        <v>3</v>
      </c>
      <c r="B354" s="1" t="s">
        <v>3</v>
      </c>
      <c r="C354" s="1" t="s">
        <v>3</v>
      </c>
      <c r="D354" s="1" t="s">
        <v>3</v>
      </c>
      <c r="E354" s="1" t="s">
        <v>3</v>
      </c>
      <c r="F354" s="1" t="s">
        <v>3</v>
      </c>
      <c r="G354" s="1" t="s">
        <v>3</v>
      </c>
      <c r="H354" s="1" t="s">
        <v>3</v>
      </c>
      <c r="I354" s="1" t="s">
        <v>3</v>
      </c>
      <c r="J354" s="1" t="s">
        <v>3</v>
      </c>
      <c r="K354" s="1" t="s">
        <v>3</v>
      </c>
      <c r="L354" s="1" t="s">
        <v>3</v>
      </c>
      <c r="M354" s="1" t="s">
        <v>3</v>
      </c>
      <c r="N354" s="1" t="s">
        <v>3</v>
      </c>
      <c r="O354" s="1" t="s">
        <v>3</v>
      </c>
      <c r="P354" s="1" t="s">
        <v>3</v>
      </c>
      <c r="Q354" s="1" t="s">
        <v>3</v>
      </c>
      <c r="R354" s="1" t="s">
        <v>3</v>
      </c>
      <c r="S354" s="1" t="s">
        <v>3</v>
      </c>
      <c r="T354" s="1" t="s">
        <v>3</v>
      </c>
      <c r="U354" t="e">
        <f t="shared" si="35"/>
        <v>#VALUE!</v>
      </c>
      <c r="V354" t="e">
        <f t="shared" si="36"/>
        <v>#VALUE!</v>
      </c>
      <c r="W354" t="e">
        <f t="shared" si="37"/>
        <v>#VALUE!</v>
      </c>
      <c r="X354" t="e">
        <f t="shared" si="38"/>
        <v>#VALUE!</v>
      </c>
      <c r="Y354" t="e">
        <f t="shared" si="39"/>
        <v>#VALUE!</v>
      </c>
      <c r="Z354" t="e">
        <f t="shared" si="40"/>
        <v>#VALUE!</v>
      </c>
      <c r="AA354" t="e">
        <f t="shared" si="41"/>
        <v>#VALUE!</v>
      </c>
    </row>
    <row r="355" spans="1:27" x14ac:dyDescent="0.35">
      <c r="A355" s="1" t="s">
        <v>3</v>
      </c>
      <c r="B355" s="1" t="s">
        <v>3</v>
      </c>
      <c r="C355" s="1" t="s">
        <v>3</v>
      </c>
      <c r="D355" s="1" t="s">
        <v>3</v>
      </c>
      <c r="E355" s="1" t="s">
        <v>3</v>
      </c>
      <c r="F355" s="1" t="s">
        <v>3</v>
      </c>
      <c r="G355" s="1" t="s">
        <v>3</v>
      </c>
      <c r="H355" s="1" t="s">
        <v>3</v>
      </c>
      <c r="I355" s="1" t="s">
        <v>3</v>
      </c>
      <c r="J355" s="1" t="s">
        <v>3</v>
      </c>
      <c r="K355" s="1" t="s">
        <v>3</v>
      </c>
      <c r="L355" s="1" t="s">
        <v>3</v>
      </c>
      <c r="M355" s="1" t="s">
        <v>3</v>
      </c>
      <c r="N355" s="1" t="s">
        <v>3</v>
      </c>
      <c r="O355" s="1" t="s">
        <v>3</v>
      </c>
      <c r="P355" s="1" t="s">
        <v>3</v>
      </c>
      <c r="Q355" s="1" t="s">
        <v>3</v>
      </c>
      <c r="R355" s="1" t="s">
        <v>3</v>
      </c>
      <c r="S355" s="1" t="s">
        <v>3</v>
      </c>
      <c r="T355" s="1" t="s">
        <v>3</v>
      </c>
      <c r="U355" t="e">
        <f t="shared" si="35"/>
        <v>#VALUE!</v>
      </c>
      <c r="V355" t="e">
        <f t="shared" si="36"/>
        <v>#VALUE!</v>
      </c>
      <c r="W355" t="e">
        <f t="shared" si="37"/>
        <v>#VALUE!</v>
      </c>
      <c r="X355" t="e">
        <f t="shared" si="38"/>
        <v>#VALUE!</v>
      </c>
      <c r="Y355" t="e">
        <f t="shared" si="39"/>
        <v>#VALUE!</v>
      </c>
      <c r="Z355" t="e">
        <f t="shared" si="40"/>
        <v>#VALUE!</v>
      </c>
      <c r="AA355" t="e">
        <f t="shared" si="41"/>
        <v>#VALUE!</v>
      </c>
    </row>
    <row r="356" spans="1:27" x14ac:dyDescent="0.35">
      <c r="A356" s="1" t="s">
        <v>3</v>
      </c>
      <c r="B356" s="1" t="s">
        <v>3</v>
      </c>
      <c r="C356" s="1" t="s">
        <v>3</v>
      </c>
      <c r="D356" s="1" t="s">
        <v>3</v>
      </c>
      <c r="E356" s="1" t="s">
        <v>3</v>
      </c>
      <c r="F356" s="1" t="s">
        <v>3</v>
      </c>
      <c r="G356" s="1" t="s">
        <v>3</v>
      </c>
      <c r="H356" s="1" t="s">
        <v>3</v>
      </c>
      <c r="I356" s="1" t="s">
        <v>3</v>
      </c>
      <c r="J356" s="1" t="s">
        <v>3</v>
      </c>
      <c r="K356" s="1" t="s">
        <v>3</v>
      </c>
      <c r="L356" s="1" t="s">
        <v>3</v>
      </c>
      <c r="M356" s="1" t="s">
        <v>3</v>
      </c>
      <c r="N356" s="1" t="s">
        <v>3</v>
      </c>
      <c r="O356" s="1" t="s">
        <v>3</v>
      </c>
      <c r="P356" s="1" t="s">
        <v>3</v>
      </c>
      <c r="Q356" s="1" t="s">
        <v>3</v>
      </c>
      <c r="R356" s="1" t="s">
        <v>3</v>
      </c>
      <c r="S356" s="1" t="s">
        <v>3</v>
      </c>
      <c r="T356" s="1" t="s">
        <v>3</v>
      </c>
      <c r="U356" t="e">
        <f t="shared" si="35"/>
        <v>#VALUE!</v>
      </c>
      <c r="V356" t="e">
        <f t="shared" si="36"/>
        <v>#VALUE!</v>
      </c>
      <c r="W356" t="e">
        <f t="shared" si="37"/>
        <v>#VALUE!</v>
      </c>
      <c r="X356" t="e">
        <f t="shared" si="38"/>
        <v>#VALUE!</v>
      </c>
      <c r="Y356" t="e">
        <f t="shared" si="39"/>
        <v>#VALUE!</v>
      </c>
      <c r="Z356" t="e">
        <f t="shared" si="40"/>
        <v>#VALUE!</v>
      </c>
      <c r="AA356" t="e">
        <f t="shared" si="41"/>
        <v>#VALUE!</v>
      </c>
    </row>
    <row r="357" spans="1:27" x14ac:dyDescent="0.35">
      <c r="A357" s="1" t="s">
        <v>3</v>
      </c>
      <c r="B357" s="1" t="s">
        <v>3</v>
      </c>
      <c r="C357" s="1" t="s">
        <v>3</v>
      </c>
      <c r="D357" s="1" t="s">
        <v>3</v>
      </c>
      <c r="E357" s="1" t="s">
        <v>3</v>
      </c>
      <c r="F357" s="1" t="s">
        <v>3</v>
      </c>
      <c r="G357" s="1" t="s">
        <v>3</v>
      </c>
      <c r="H357" s="1" t="s">
        <v>3</v>
      </c>
      <c r="I357" s="1" t="s">
        <v>3</v>
      </c>
      <c r="J357" s="1" t="s">
        <v>3</v>
      </c>
      <c r="K357" s="1" t="s">
        <v>3</v>
      </c>
      <c r="L357" s="1" t="s">
        <v>3</v>
      </c>
      <c r="M357" s="1" t="s">
        <v>3</v>
      </c>
      <c r="N357" s="1" t="s">
        <v>3</v>
      </c>
      <c r="O357" s="1" t="s">
        <v>3</v>
      </c>
      <c r="P357" s="1" t="s">
        <v>3</v>
      </c>
      <c r="Q357" s="1" t="s">
        <v>3</v>
      </c>
      <c r="R357" s="1" t="s">
        <v>3</v>
      </c>
      <c r="S357" s="1" t="s">
        <v>3</v>
      </c>
      <c r="T357" s="1" t="s">
        <v>3</v>
      </c>
      <c r="U357" t="e">
        <f t="shared" si="35"/>
        <v>#VALUE!</v>
      </c>
      <c r="V357" t="e">
        <f t="shared" si="36"/>
        <v>#VALUE!</v>
      </c>
      <c r="W357" t="e">
        <f t="shared" si="37"/>
        <v>#VALUE!</v>
      </c>
      <c r="X357" t="e">
        <f t="shared" si="38"/>
        <v>#VALUE!</v>
      </c>
      <c r="Y357" t="e">
        <f t="shared" si="39"/>
        <v>#VALUE!</v>
      </c>
      <c r="Z357" t="e">
        <f t="shared" si="40"/>
        <v>#VALUE!</v>
      </c>
      <c r="AA357" t="e">
        <f t="shared" si="41"/>
        <v>#VALUE!</v>
      </c>
    </row>
    <row r="358" spans="1:27" x14ac:dyDescent="0.35">
      <c r="A358" s="1" t="s">
        <v>3</v>
      </c>
      <c r="B358" s="1" t="s">
        <v>3</v>
      </c>
      <c r="C358" s="1" t="s">
        <v>3</v>
      </c>
      <c r="D358" s="1" t="s">
        <v>3</v>
      </c>
      <c r="E358" s="1" t="s">
        <v>3</v>
      </c>
      <c r="F358" s="1" t="s">
        <v>3</v>
      </c>
      <c r="G358" s="1" t="s">
        <v>3</v>
      </c>
      <c r="H358" s="1" t="s">
        <v>3</v>
      </c>
      <c r="I358" s="1" t="s">
        <v>3</v>
      </c>
      <c r="J358" s="1" t="s">
        <v>3</v>
      </c>
      <c r="K358" s="1" t="s">
        <v>3</v>
      </c>
      <c r="L358" s="1" t="s">
        <v>3</v>
      </c>
      <c r="M358" s="1" t="s">
        <v>3</v>
      </c>
      <c r="N358" s="1" t="s">
        <v>3</v>
      </c>
      <c r="O358" s="1" t="s">
        <v>3</v>
      </c>
      <c r="P358" s="1" t="s">
        <v>3</v>
      </c>
      <c r="Q358" s="1" t="s">
        <v>3</v>
      </c>
      <c r="R358" s="1" t="s">
        <v>3</v>
      </c>
      <c r="S358" s="1" t="s">
        <v>3</v>
      </c>
      <c r="T358" s="1" t="s">
        <v>3</v>
      </c>
      <c r="U358" t="e">
        <f t="shared" si="35"/>
        <v>#VALUE!</v>
      </c>
      <c r="V358" t="e">
        <f t="shared" si="36"/>
        <v>#VALUE!</v>
      </c>
      <c r="W358" t="e">
        <f t="shared" si="37"/>
        <v>#VALUE!</v>
      </c>
      <c r="X358" t="e">
        <f t="shared" si="38"/>
        <v>#VALUE!</v>
      </c>
      <c r="Y358" t="e">
        <f t="shared" si="39"/>
        <v>#VALUE!</v>
      </c>
      <c r="Z358" t="e">
        <f t="shared" si="40"/>
        <v>#VALUE!</v>
      </c>
      <c r="AA358" t="e">
        <f t="shared" si="41"/>
        <v>#VALUE!</v>
      </c>
    </row>
    <row r="359" spans="1:27" x14ac:dyDescent="0.35">
      <c r="A359" s="1">
        <v>17.449929351268199</v>
      </c>
      <c r="B359" s="1">
        <v>25.429196259864799</v>
      </c>
      <c r="C359" s="1">
        <v>0.18291034502966699</v>
      </c>
      <c r="D359" s="1">
        <v>23.95149</v>
      </c>
      <c r="E359" s="1">
        <v>15.93473</v>
      </c>
      <c r="F359" s="1">
        <v>57.93909</v>
      </c>
      <c r="G359" s="1">
        <v>2.6707800000000002</v>
      </c>
      <c r="H359" s="1">
        <v>1.5286258655195</v>
      </c>
      <c r="I359" s="1">
        <v>0.38336999999999999</v>
      </c>
      <c r="J359" s="1">
        <v>85685210.243579999</v>
      </c>
      <c r="K359" s="1">
        <v>126344232.60315999</v>
      </c>
      <c r="L359" s="1">
        <v>329561212.02240998</v>
      </c>
      <c r="M359" s="1">
        <v>58229315.163790002</v>
      </c>
      <c r="N359" s="1">
        <v>466461132.14881998</v>
      </c>
      <c r="O359" s="1">
        <v>53880657.252760001</v>
      </c>
      <c r="P359" s="1">
        <v>52514691.594499998</v>
      </c>
      <c r="Q359" s="1">
        <v>201964206.92817</v>
      </c>
      <c r="R359" s="1">
        <v>75619974.325010002</v>
      </c>
      <c r="S359" s="1">
        <v>55815205.374190003</v>
      </c>
      <c r="T359" s="1">
        <v>0.30003000000000002</v>
      </c>
      <c r="U359">
        <f t="shared" si="35"/>
        <v>1.9891912110503873</v>
      </c>
      <c r="V359">
        <f t="shared" si="36"/>
        <v>-4.1167517221715428</v>
      </c>
      <c r="W359">
        <f t="shared" si="37"/>
        <v>1.2686869911797962</v>
      </c>
      <c r="X359">
        <f t="shared" si="38"/>
        <v>0</v>
      </c>
      <c r="Y359">
        <f t="shared" si="39"/>
        <v>0</v>
      </c>
      <c r="Z359">
        <f t="shared" si="40"/>
        <v>0</v>
      </c>
      <c r="AA359">
        <f t="shared" si="41"/>
        <v>0</v>
      </c>
    </row>
    <row r="360" spans="1:27" x14ac:dyDescent="0.35">
      <c r="A360" s="1">
        <v>2.85232690903152</v>
      </c>
      <c r="B360" s="1">
        <v>4.1708194473267799</v>
      </c>
      <c r="C360" s="1">
        <v>5.9673637562604E-2</v>
      </c>
      <c r="D360" s="1">
        <v>45.043419999999998</v>
      </c>
      <c r="E360" s="1">
        <v>26.870660000000001</v>
      </c>
      <c r="F360" s="1">
        <v>9.2998399999999997</v>
      </c>
      <c r="G360" s="1">
        <v>2.2134999999999998</v>
      </c>
      <c r="H360" s="1">
        <v>1.3193983202745301</v>
      </c>
      <c r="I360" s="1">
        <v>0.24806</v>
      </c>
      <c r="J360" s="1">
        <v>3295471.3777200002</v>
      </c>
      <c r="K360" s="1">
        <v>96134920.209209993</v>
      </c>
      <c r="L360" s="1">
        <v>387539371.13287002</v>
      </c>
      <c r="M360" s="1">
        <v>16349386.46961</v>
      </c>
      <c r="N360" s="1">
        <v>473070652.44147998</v>
      </c>
      <c r="O360" s="1">
        <v>10634961.03297</v>
      </c>
      <c r="P360" s="1">
        <v>104134383.04028</v>
      </c>
      <c r="Q360" s="1">
        <v>175356156.46561</v>
      </c>
      <c r="R360" s="1">
        <v>79221236.256400004</v>
      </c>
      <c r="S360" s="1">
        <v>21396000.147569999</v>
      </c>
      <c r="T360" s="1">
        <v>0.27944999999999998</v>
      </c>
      <c r="U360">
        <f t="shared" si="35"/>
        <v>1.0494909257904499</v>
      </c>
      <c r="V360">
        <f t="shared" si="36"/>
        <v>-2.8830086638943593</v>
      </c>
      <c r="W360">
        <f t="shared" si="37"/>
        <v>0.65468059577265103</v>
      </c>
      <c r="X360">
        <f t="shared" si="38"/>
        <v>0</v>
      </c>
      <c r="Y360">
        <f t="shared" si="39"/>
        <v>0</v>
      </c>
      <c r="Z360">
        <f t="shared" si="40"/>
        <v>0</v>
      </c>
      <c r="AA360">
        <f t="shared" si="41"/>
        <v>0</v>
      </c>
    </row>
    <row r="361" spans="1:27" x14ac:dyDescent="0.35">
      <c r="A361" s="1">
        <v>5.4769627405984904</v>
      </c>
      <c r="B361" s="1">
        <v>8.7498917441731301</v>
      </c>
      <c r="C361" s="1">
        <v>7.7642899697668993E-2</v>
      </c>
      <c r="D361" s="1">
        <v>43.616799999999998</v>
      </c>
      <c r="E361" s="1">
        <v>26.06353</v>
      </c>
      <c r="F361" s="1">
        <v>7.06623</v>
      </c>
      <c r="G361" s="1">
        <v>2.2424200000000001</v>
      </c>
      <c r="H361" s="1">
        <v>1.10688127242964</v>
      </c>
      <c r="I361" s="1">
        <v>0.25078</v>
      </c>
      <c r="J361" s="1">
        <v>46316192.83907</v>
      </c>
      <c r="K361" s="1">
        <v>106075482.10863</v>
      </c>
      <c r="L361" s="1">
        <v>422989475.29285997</v>
      </c>
      <c r="M361" s="1">
        <v>26046779.112750001</v>
      </c>
      <c r="N361" s="1">
        <v>448579600.43632001</v>
      </c>
      <c r="O361" s="1">
        <v>22663568.442790002</v>
      </c>
      <c r="P361" s="1">
        <v>110246000.53248</v>
      </c>
      <c r="Q361" s="1">
        <v>191453650.05325001</v>
      </c>
      <c r="R361" s="1">
        <v>85378167.944619998</v>
      </c>
      <c r="S361" s="1">
        <v>31465904.962549999</v>
      </c>
      <c r="T361" s="1">
        <v>0.27299000000000001</v>
      </c>
      <c r="U361">
        <f t="shared" si="35"/>
        <v>1.1122232932844369</v>
      </c>
      <c r="V361">
        <f t="shared" si="36"/>
        <v>-3.0465167456063669</v>
      </c>
      <c r="W361">
        <f t="shared" si="37"/>
        <v>0.72485846827809441</v>
      </c>
      <c r="X361">
        <f t="shared" si="38"/>
        <v>0</v>
      </c>
      <c r="Y361">
        <f t="shared" si="39"/>
        <v>0</v>
      </c>
      <c r="Z361">
        <f t="shared" si="40"/>
        <v>0</v>
      </c>
      <c r="AA361">
        <f t="shared" si="41"/>
        <v>0</v>
      </c>
    </row>
    <row r="362" spans="1:27" x14ac:dyDescent="0.35">
      <c r="A362" s="1">
        <v>5.6432188638502003</v>
      </c>
      <c r="B362" s="1">
        <v>9.4222422584448502</v>
      </c>
      <c r="C362" s="1">
        <v>8.7833297455763001E-2</v>
      </c>
      <c r="D362" s="1">
        <v>81.725380000000001</v>
      </c>
      <c r="E362" s="1">
        <v>39.414859999999997</v>
      </c>
      <c r="F362" s="1">
        <v>2.7178300000000002</v>
      </c>
      <c r="G362" s="1">
        <v>1.5255799999999999</v>
      </c>
      <c r="H362" s="1">
        <v>1.0927449373939799</v>
      </c>
      <c r="I362" s="1">
        <v>0.11226999999999999</v>
      </c>
      <c r="J362" s="1">
        <v>67325069.259059995</v>
      </c>
      <c r="K362" s="1">
        <v>61341914.193549998</v>
      </c>
      <c r="L362" s="1">
        <v>546365795.57604003</v>
      </c>
      <c r="M362" s="1">
        <v>33416745.19754</v>
      </c>
      <c r="N362" s="1">
        <v>529629032.38907999</v>
      </c>
      <c r="O362" s="1">
        <v>28802002.32144</v>
      </c>
      <c r="P362" s="1">
        <v>215349326.72810999</v>
      </c>
      <c r="Q362" s="1">
        <v>178055378.24884999</v>
      </c>
      <c r="R362" s="1">
        <v>116713464.0553</v>
      </c>
      <c r="S362" s="1">
        <v>42570834.923270002</v>
      </c>
      <c r="T362" s="1">
        <v>0.20641000000000001</v>
      </c>
      <c r="U362">
        <f t="shared" si="35"/>
        <v>0.93155836592327312</v>
      </c>
      <c r="V362">
        <f t="shared" si="36"/>
        <v>-2.2844707461170959</v>
      </c>
      <c r="W362">
        <f t="shared" si="37"/>
        <v>0.5083205521501083</v>
      </c>
      <c r="X362">
        <f t="shared" si="38"/>
        <v>0</v>
      </c>
      <c r="Y362">
        <f t="shared" si="39"/>
        <v>0</v>
      </c>
      <c r="Z362">
        <f t="shared" si="40"/>
        <v>0</v>
      </c>
      <c r="AA362">
        <f t="shared" si="41"/>
        <v>0</v>
      </c>
    </row>
    <row r="363" spans="1:27" x14ac:dyDescent="0.35">
      <c r="A363" s="1">
        <v>-0.74507573391663895</v>
      </c>
      <c r="B363" s="1">
        <v>-0.80623608762514398</v>
      </c>
      <c r="C363" s="1">
        <v>3.7021719381630002E-3</v>
      </c>
      <c r="D363" s="1">
        <v>105.74897</v>
      </c>
      <c r="E363" s="1">
        <v>44.884320000000002</v>
      </c>
      <c r="F363" s="1">
        <v>0.27399000000000001</v>
      </c>
      <c r="G363" s="1">
        <v>1.19475</v>
      </c>
      <c r="H363" s="1">
        <v>0.70905729996607003</v>
      </c>
      <c r="I363" s="1">
        <v>4.376E-2</v>
      </c>
      <c r="J363" s="1">
        <v>22293673.547479998</v>
      </c>
      <c r="K363" s="1">
        <v>26843962.845010001</v>
      </c>
      <c r="L363" s="1">
        <v>613396922.92993999</v>
      </c>
      <c r="M363" s="1">
        <v>-1647179.20227</v>
      </c>
      <c r="N363" s="1">
        <v>411169110.89257997</v>
      </c>
      <c r="O363" s="1">
        <v>-6099141.5234300001</v>
      </c>
      <c r="P363" s="1">
        <v>275319056.36942995</v>
      </c>
      <c r="Q363" s="1">
        <v>164678918.89596999</v>
      </c>
      <c r="R363" s="1">
        <v>137834956.05096</v>
      </c>
      <c r="S363" s="1">
        <v>2146820.4956899998</v>
      </c>
      <c r="T363" s="1">
        <v>0.20268</v>
      </c>
      <c r="U363">
        <f t="shared" si="35"/>
        <v>0.31605905578225435</v>
      </c>
      <c r="V363">
        <f t="shared" si="36"/>
        <v>-1.692070072365079</v>
      </c>
      <c r="W363">
        <f t="shared" si="37"/>
        <v>0.14096313622052981</v>
      </c>
      <c r="X363">
        <f t="shared" si="38"/>
        <v>1</v>
      </c>
      <c r="Y363">
        <f t="shared" si="39"/>
        <v>0</v>
      </c>
      <c r="Z363">
        <f t="shared" si="40"/>
        <v>0</v>
      </c>
      <c r="AA363">
        <f t="shared" si="41"/>
        <v>0</v>
      </c>
    </row>
    <row r="364" spans="1:27" x14ac:dyDescent="0.35">
      <c r="A364" s="1">
        <v>1.74508552359639</v>
      </c>
      <c r="B364" s="1">
        <v>3.9977781832045398</v>
      </c>
      <c r="C364" s="1">
        <v>3.4739248904633001E-2</v>
      </c>
      <c r="D364" s="1">
        <v>101.45829000000001</v>
      </c>
      <c r="E364" s="1">
        <v>43.692839999999997</v>
      </c>
      <c r="F364" s="1">
        <v>2.12012</v>
      </c>
      <c r="G364" s="1">
        <v>1.1716200000000001</v>
      </c>
      <c r="H364" s="1">
        <v>0.76762135620569105</v>
      </c>
      <c r="I364" s="1">
        <v>3.986E-2</v>
      </c>
      <c r="J364" s="1">
        <v>32557894.050250001</v>
      </c>
      <c r="K364" s="1">
        <v>25113463.96446</v>
      </c>
      <c r="L364" s="1">
        <v>630007464.85285997</v>
      </c>
      <c r="M364" s="1">
        <v>12520573.46477</v>
      </c>
      <c r="N364" s="1">
        <v>477231881.23097003</v>
      </c>
      <c r="O364" s="1">
        <v>9528890.2808100004</v>
      </c>
      <c r="P364" s="1">
        <v>275268127.81787997</v>
      </c>
      <c r="Q364" s="1">
        <v>171446113.60354999</v>
      </c>
      <c r="R364" s="1">
        <v>146332649.63909</v>
      </c>
      <c r="S364" s="1">
        <v>21597467.25815</v>
      </c>
      <c r="T364" s="1">
        <v>0.21837000000000001</v>
      </c>
      <c r="U364">
        <f t="shared" si="35"/>
        <v>0.50577355392240375</v>
      </c>
      <c r="V364">
        <f t="shared" si="36"/>
        <v>-1.8728845728266295</v>
      </c>
      <c r="W364">
        <f t="shared" si="37"/>
        <v>0.23970808324386797</v>
      </c>
      <c r="X364">
        <f t="shared" si="38"/>
        <v>1</v>
      </c>
      <c r="Y364">
        <f t="shared" si="39"/>
        <v>0</v>
      </c>
      <c r="Z364">
        <f t="shared" si="40"/>
        <v>0</v>
      </c>
      <c r="AA364">
        <f t="shared" si="41"/>
        <v>0</v>
      </c>
    </row>
    <row r="365" spans="1:27" x14ac:dyDescent="0.35">
      <c r="A365" s="1">
        <v>2.4593344200821901</v>
      </c>
      <c r="B365" s="1">
        <v>5.9438651559340796</v>
      </c>
      <c r="C365" s="1">
        <v>3.7859752766510997E-2</v>
      </c>
      <c r="D365" s="1">
        <v>119.45143</v>
      </c>
      <c r="E365" s="1">
        <v>47.204659999999997</v>
      </c>
      <c r="F365" s="1">
        <v>1.88246</v>
      </c>
      <c r="G365" s="1">
        <v>1.05955</v>
      </c>
      <c r="H365" s="1">
        <v>0.86833692541923102</v>
      </c>
      <c r="I365" s="1">
        <v>1.409E-2</v>
      </c>
      <c r="J365" s="1">
        <v>26121819</v>
      </c>
      <c r="K365" s="1">
        <v>10126940</v>
      </c>
      <c r="L365" s="1">
        <v>718535203</v>
      </c>
      <c r="M365" s="1">
        <v>20546483</v>
      </c>
      <c r="N365" s="1">
        <v>585494697</v>
      </c>
      <c r="O365" s="1">
        <v>15537455</v>
      </c>
      <c r="P365" s="1">
        <v>339182104</v>
      </c>
      <c r="Q365" s="1">
        <v>180172465</v>
      </c>
      <c r="R365" s="1">
        <v>170045525</v>
      </c>
      <c r="S365" s="1">
        <v>25527746</v>
      </c>
      <c r="T365" s="1">
        <v>0.19028999999999999</v>
      </c>
      <c r="U365">
        <f t="shared" si="35"/>
        <v>0.52927132700802049</v>
      </c>
      <c r="V365">
        <f t="shared" si="36"/>
        <v>-1.7024031867526819</v>
      </c>
      <c r="W365">
        <f t="shared" si="37"/>
        <v>0.20153640855784211</v>
      </c>
      <c r="X365">
        <f t="shared" si="38"/>
        <v>1</v>
      </c>
      <c r="Y365">
        <f t="shared" si="39"/>
        <v>0</v>
      </c>
      <c r="Z365">
        <f t="shared" si="40"/>
        <v>0</v>
      </c>
      <c r="AA365">
        <f t="shared" si="41"/>
        <v>0</v>
      </c>
    </row>
    <row r="366" spans="1:27" x14ac:dyDescent="0.35">
      <c r="A366" s="1">
        <v>1.32191840541126</v>
      </c>
      <c r="B366" s="1">
        <v>3.7610787119831</v>
      </c>
      <c r="C366" s="1">
        <v>4.0023845363858002E-2</v>
      </c>
      <c r="D366" s="1">
        <v>111.86288</v>
      </c>
      <c r="E366" s="1">
        <v>45.106059999999999</v>
      </c>
      <c r="F366" s="1">
        <v>1.8941399999999999</v>
      </c>
      <c r="G366" s="1">
        <v>1.02746</v>
      </c>
      <c r="H366" s="1">
        <v>0.86306083781468901</v>
      </c>
      <c r="I366" s="1">
        <v>7.0499999999999998E-3</v>
      </c>
      <c r="J366" s="1">
        <v>39422488</v>
      </c>
      <c r="K366" s="1">
        <v>4968528</v>
      </c>
      <c r="L366" s="1">
        <v>704379549</v>
      </c>
      <c r="M366" s="1">
        <v>15614901</v>
      </c>
      <c r="N366" s="1">
        <v>614030999</v>
      </c>
      <c r="O366" s="1">
        <v>7866093</v>
      </c>
      <c r="P366" s="1">
        <v>317717830</v>
      </c>
      <c r="Q366" s="1">
        <v>185934241</v>
      </c>
      <c r="R366" s="1">
        <v>180965713</v>
      </c>
      <c r="S366" s="1">
        <v>28475260</v>
      </c>
      <c r="T366" s="1">
        <v>0.19964000000000001</v>
      </c>
      <c r="U366">
        <f t="shared" si="35"/>
        <v>0.53701561072780635</v>
      </c>
      <c r="V366">
        <f t="shared" si="36"/>
        <v>-1.7750983472428732</v>
      </c>
      <c r="W366">
        <f t="shared" si="37"/>
        <v>0.20642755489909886</v>
      </c>
      <c r="X366">
        <f t="shared" si="38"/>
        <v>1</v>
      </c>
      <c r="Y366">
        <f t="shared" si="39"/>
        <v>0</v>
      </c>
      <c r="Z366">
        <f t="shared" si="40"/>
        <v>0</v>
      </c>
      <c r="AA366">
        <f t="shared" si="41"/>
        <v>0</v>
      </c>
    </row>
    <row r="367" spans="1:27" x14ac:dyDescent="0.35">
      <c r="A367" s="1">
        <v>0.99785830117111596</v>
      </c>
      <c r="B367" s="1">
        <v>3.8216214736045999</v>
      </c>
      <c r="C367" s="1">
        <v>2.4395464836088999E-2</v>
      </c>
      <c r="D367" s="1">
        <v>97.469710000000006</v>
      </c>
      <c r="E367" s="1">
        <v>41.57696</v>
      </c>
      <c r="F367" s="1">
        <v>1.14269</v>
      </c>
      <c r="G367" s="1">
        <v>1.0541</v>
      </c>
      <c r="H367" s="1">
        <v>0.79622325026048302</v>
      </c>
      <c r="I367" s="1">
        <v>1.431E-2</v>
      </c>
      <c r="J367" s="1">
        <v>48678187</v>
      </c>
      <c r="K367" s="1">
        <v>9245291</v>
      </c>
      <c r="L367" s="1">
        <v>645939628</v>
      </c>
      <c r="M367" s="1">
        <v>12125848</v>
      </c>
      <c r="N367" s="1">
        <v>537577762</v>
      </c>
      <c r="O367" s="1">
        <v>5221824</v>
      </c>
      <c r="P367" s="1">
        <v>268562071</v>
      </c>
      <c r="Q367" s="1">
        <v>180139236</v>
      </c>
      <c r="R367" s="1">
        <v>170893945</v>
      </c>
      <c r="S367" s="1">
        <v>16470832</v>
      </c>
      <c r="T367" s="1">
        <v>0.2712</v>
      </c>
      <c r="U367">
        <f t="shared" si="35"/>
        <v>0.47275149574468017</v>
      </c>
      <c r="V367">
        <f t="shared" si="36"/>
        <v>-1.9622751260159152</v>
      </c>
      <c r="W367">
        <f t="shared" si="37"/>
        <v>0.16754437344723491</v>
      </c>
      <c r="X367">
        <f t="shared" si="38"/>
        <v>1</v>
      </c>
      <c r="Y367">
        <f t="shared" si="39"/>
        <v>0</v>
      </c>
      <c r="Z367">
        <f t="shared" si="40"/>
        <v>0</v>
      </c>
      <c r="AA367">
        <f t="shared" si="41"/>
        <v>0</v>
      </c>
    </row>
    <row r="368" spans="1:27" x14ac:dyDescent="0.35">
      <c r="A368" s="1">
        <v>3.0945571783434001</v>
      </c>
      <c r="B368" s="1">
        <v>7.6790818919321602</v>
      </c>
      <c r="C368" s="1">
        <v>5.6324788922543001E-2</v>
      </c>
      <c r="D368" s="1">
        <v>79.672759999999997</v>
      </c>
      <c r="E368" s="1">
        <v>37.533250000000002</v>
      </c>
      <c r="F368" s="1">
        <v>2.9399899999999999</v>
      </c>
      <c r="G368" s="1">
        <v>1.1055600000000001</v>
      </c>
      <c r="H368" s="1">
        <v>0.80252881703423495</v>
      </c>
      <c r="I368" s="1">
        <v>2.7990000000000001E-2</v>
      </c>
      <c r="J368" s="1">
        <v>67552357</v>
      </c>
      <c r="K368" s="1">
        <v>17516708</v>
      </c>
      <c r="L368" s="1">
        <v>625736083</v>
      </c>
      <c r="M368" s="1">
        <v>23681854</v>
      </c>
      <c r="N368" s="1">
        <v>510278202</v>
      </c>
      <c r="O368" s="1">
        <v>17724295</v>
      </c>
      <c r="P368" s="1">
        <v>234859083</v>
      </c>
      <c r="Q368" s="1">
        <v>183455669</v>
      </c>
      <c r="R368" s="1">
        <v>165938961</v>
      </c>
      <c r="S368" s="1">
        <v>35813433</v>
      </c>
      <c r="T368" s="1">
        <v>0.29809999999999998</v>
      </c>
      <c r="U368">
        <f t="shared" si="35"/>
        <v>0.62492750519363061</v>
      </c>
      <c r="V368">
        <f t="shared" si="36"/>
        <v>-2.2836473588485466</v>
      </c>
      <c r="W368">
        <f t="shared" si="37"/>
        <v>0.29846774807614856</v>
      </c>
      <c r="X368">
        <f t="shared" si="38"/>
        <v>1</v>
      </c>
      <c r="Y368">
        <f t="shared" si="39"/>
        <v>0</v>
      </c>
      <c r="Z368">
        <f t="shared" si="40"/>
        <v>0</v>
      </c>
      <c r="AA368">
        <f t="shared" si="41"/>
        <v>0</v>
      </c>
    </row>
    <row r="369" spans="1:27" x14ac:dyDescent="0.35">
      <c r="A369" s="1">
        <v>1.6580422422348799</v>
      </c>
      <c r="B369" s="1">
        <v>4.0504641907970296</v>
      </c>
      <c r="C369" s="1">
        <v>5.1911220857404003E-2</v>
      </c>
      <c r="D369" s="1">
        <v>67.355329999999995</v>
      </c>
      <c r="E369" s="1">
        <v>34.391370000000002</v>
      </c>
      <c r="F369" s="1">
        <v>3.0154200000000002</v>
      </c>
      <c r="G369" s="1">
        <v>1.1672800000000001</v>
      </c>
      <c r="H369" s="1">
        <v>0.75255886298676999</v>
      </c>
      <c r="I369" s="1">
        <v>4.5530000000000001E-2</v>
      </c>
      <c r="J369" s="1">
        <v>42847199</v>
      </c>
      <c r="K369" s="1">
        <v>26095944</v>
      </c>
      <c r="L369" s="1">
        <v>573176194</v>
      </c>
      <c r="M369" s="1">
        <v>14109784</v>
      </c>
      <c r="N369" s="1">
        <v>451126030</v>
      </c>
      <c r="O369" s="1">
        <v>8518389</v>
      </c>
      <c r="P369" s="1">
        <v>197123145</v>
      </c>
      <c r="Q369" s="1">
        <v>182100133</v>
      </c>
      <c r="R369" s="1">
        <v>156004189</v>
      </c>
      <c r="S369" s="1">
        <v>31118500</v>
      </c>
      <c r="T369" s="1">
        <v>0.33130999999999999</v>
      </c>
      <c r="U369">
        <f t="shared" si="35"/>
        <v>0.58808792924745168</v>
      </c>
      <c r="V369">
        <f t="shared" si="36"/>
        <v>-2.4019005858912732</v>
      </c>
      <c r="W369">
        <f t="shared" si="37"/>
        <v>0.3171677763050989</v>
      </c>
      <c r="X369">
        <f t="shared" si="38"/>
        <v>1</v>
      </c>
      <c r="Y369">
        <f t="shared" si="39"/>
        <v>0</v>
      </c>
      <c r="Z369">
        <f t="shared" si="40"/>
        <v>0</v>
      </c>
      <c r="AA369">
        <f t="shared" si="41"/>
        <v>0</v>
      </c>
    </row>
    <row r="370" spans="1:27" x14ac:dyDescent="0.35">
      <c r="A370" s="1">
        <v>1.8575127435707199</v>
      </c>
      <c r="B370" s="1">
        <v>6.0309808139185197</v>
      </c>
      <c r="C370" s="1">
        <v>1.4855360942816E-2</v>
      </c>
      <c r="D370" s="1">
        <v>62.525320000000001</v>
      </c>
      <c r="E370" s="1">
        <v>32.771439999999998</v>
      </c>
      <c r="F370" s="1">
        <v>0.86441000000000001</v>
      </c>
      <c r="G370" s="1">
        <v>1.0862700000000001</v>
      </c>
      <c r="H370" s="1">
        <v>0.70988934168758</v>
      </c>
      <c r="I370" s="1">
        <v>2.4629999999999999E-2</v>
      </c>
      <c r="J370" s="1">
        <v>47234185</v>
      </c>
      <c r="K370" s="1">
        <v>14084722</v>
      </c>
      <c r="L370" s="1">
        <v>571897296</v>
      </c>
      <c r="M370" s="1">
        <v>8319351</v>
      </c>
      <c r="N370" s="1">
        <v>406437733</v>
      </c>
      <c r="O370" s="1">
        <v>8827091</v>
      </c>
      <c r="P370" s="1">
        <v>187418971</v>
      </c>
      <c r="Q370" s="1">
        <v>177349629</v>
      </c>
      <c r="R370" s="1">
        <v>163264907</v>
      </c>
      <c r="S370" s="1">
        <v>8505240</v>
      </c>
      <c r="T370" s="1">
        <v>0.34532000000000002</v>
      </c>
      <c r="U370">
        <f t="shared" si="35"/>
        <v>0.38892814620639693</v>
      </c>
      <c r="V370">
        <f t="shared" si="36"/>
        <v>-2.497139294185617</v>
      </c>
      <c r="W370">
        <f t="shared" si="37"/>
        <v>0.14850744737215893</v>
      </c>
      <c r="X370">
        <f t="shared" si="38"/>
        <v>1</v>
      </c>
      <c r="Y370">
        <f t="shared" si="39"/>
        <v>0</v>
      </c>
      <c r="Z370">
        <f t="shared" si="40"/>
        <v>0</v>
      </c>
      <c r="AA370">
        <f t="shared" si="41"/>
        <v>0</v>
      </c>
    </row>
    <row r="371" spans="1:27" x14ac:dyDescent="0.35">
      <c r="A371" s="1">
        <v>1.98797236234344</v>
      </c>
      <c r="B371" s="1">
        <v>4.6077070668514697</v>
      </c>
      <c r="C371" s="1">
        <v>3.9584493655736998E-2</v>
      </c>
      <c r="D371" s="1">
        <v>57.886409999999998</v>
      </c>
      <c r="E371" s="1">
        <v>30.082599999999999</v>
      </c>
      <c r="F371" s="1">
        <v>2.4056700000000002</v>
      </c>
      <c r="G371" s="1">
        <v>1.1291199999999999</v>
      </c>
      <c r="H371" s="1">
        <v>0.74224219823152005</v>
      </c>
      <c r="I371" s="1">
        <v>4.1390000000000003E-2</v>
      </c>
      <c r="J371" s="1">
        <v>26991745</v>
      </c>
      <c r="K371" s="1">
        <v>24369354</v>
      </c>
      <c r="L371" s="1">
        <v>588787653</v>
      </c>
      <c r="M371" s="1">
        <v>16995327</v>
      </c>
      <c r="N371" s="1">
        <v>430754674</v>
      </c>
      <c r="O371" s="1">
        <v>11387304</v>
      </c>
      <c r="P371" s="1">
        <v>177122610</v>
      </c>
      <c r="Q371" s="1">
        <v>213098529</v>
      </c>
      <c r="R371" s="1">
        <v>188729175</v>
      </c>
      <c r="S371" s="1">
        <v>22972563</v>
      </c>
      <c r="T371" s="1">
        <v>0.34140999999999999</v>
      </c>
      <c r="U371">
        <f t="shared" si="35"/>
        <v>0.51448435251923308</v>
      </c>
      <c r="V371">
        <f t="shared" si="36"/>
        <v>-2.6678066960380571</v>
      </c>
      <c r="W371">
        <f t="shared" si="37"/>
        <v>0.25841427017322322</v>
      </c>
      <c r="X371">
        <f t="shared" si="38"/>
        <v>1</v>
      </c>
      <c r="Y371">
        <f t="shared" si="39"/>
        <v>0</v>
      </c>
      <c r="Z371">
        <f t="shared" si="40"/>
        <v>0</v>
      </c>
      <c r="AA371">
        <f t="shared" si="41"/>
        <v>0</v>
      </c>
    </row>
    <row r="372" spans="1:27" x14ac:dyDescent="0.35">
      <c r="A372" s="1">
        <v>1.24749583304517</v>
      </c>
      <c r="B372" s="1">
        <v>3.4567695298849199</v>
      </c>
      <c r="C372" s="1">
        <v>3.6848497361931E-2</v>
      </c>
      <c r="D372" s="1">
        <v>54.360900000000001</v>
      </c>
      <c r="E372" s="1">
        <v>27.791049999999998</v>
      </c>
      <c r="F372" s="1">
        <v>1.92333</v>
      </c>
      <c r="G372" s="1">
        <v>1.09528</v>
      </c>
      <c r="H372" s="1">
        <v>0.81180361750794405</v>
      </c>
      <c r="I372" s="1">
        <v>3.2000000000000001E-2</v>
      </c>
      <c r="J372" s="1">
        <v>28741625</v>
      </c>
      <c r="K372" s="1">
        <v>19194061</v>
      </c>
      <c r="L372" s="1">
        <v>599790746</v>
      </c>
      <c r="M372" s="1">
        <v>11863532</v>
      </c>
      <c r="N372" s="1">
        <v>482446122</v>
      </c>
      <c r="O372" s="1">
        <v>6684133</v>
      </c>
      <c r="P372" s="1">
        <v>166688175</v>
      </c>
      <c r="Q372" s="1">
        <v>220642568</v>
      </c>
      <c r="R372" s="1">
        <v>201448507</v>
      </c>
      <c r="S372" s="1">
        <v>21898664</v>
      </c>
      <c r="T372" s="1">
        <v>0.33973999999999999</v>
      </c>
      <c r="U372">
        <f t="shared" si="35"/>
        <v>0.50565966515355765</v>
      </c>
      <c r="V372">
        <f t="shared" si="36"/>
        <v>-2.7616772416894233</v>
      </c>
      <c r="W372">
        <f t="shared" si="37"/>
        <v>0.23426215308096804</v>
      </c>
      <c r="X372">
        <f t="shared" si="38"/>
        <v>1</v>
      </c>
      <c r="Y372">
        <f t="shared" si="39"/>
        <v>0</v>
      </c>
      <c r="Z372">
        <f t="shared" si="40"/>
        <v>0</v>
      </c>
      <c r="AA372">
        <f t="shared" si="41"/>
        <v>0</v>
      </c>
    </row>
    <row r="373" spans="1:27" x14ac:dyDescent="0.35">
      <c r="A373" s="1">
        <v>-10.781918524858</v>
      </c>
      <c r="B373" s="1">
        <v>-19.988868631921701</v>
      </c>
      <c r="C373" s="1">
        <v>3.4860599746336998E-2</v>
      </c>
      <c r="D373" s="1">
        <v>64.637510000000006</v>
      </c>
      <c r="E373" s="1">
        <v>30.845269999999999</v>
      </c>
      <c r="F373" s="1">
        <v>1.70157</v>
      </c>
      <c r="G373" s="1">
        <v>1.2684299999999999</v>
      </c>
      <c r="H373" s="1">
        <v>0.78578168345660704</v>
      </c>
      <c r="I373" s="1">
        <v>9.1340000000000005E-2</v>
      </c>
      <c r="J373" s="1">
        <v>24623515</v>
      </c>
      <c r="K373" s="1">
        <v>47244517</v>
      </c>
      <c r="L373" s="1">
        <v>517225263</v>
      </c>
      <c r="M373" s="1">
        <v>-56599858</v>
      </c>
      <c r="N373" s="1">
        <v>438865360</v>
      </c>
      <c r="O373" s="1">
        <v>-61762377</v>
      </c>
      <c r="P373" s="1">
        <v>159539511</v>
      </c>
      <c r="Q373" s="1">
        <v>223248644</v>
      </c>
      <c r="R373" s="1">
        <v>176004127</v>
      </c>
      <c r="S373" s="1">
        <v>19469924</v>
      </c>
      <c r="T373" s="1">
        <v>0.31264999999999998</v>
      </c>
      <c r="U373">
        <f t="shared" si="35"/>
        <v>0.33680189885666345</v>
      </c>
      <c r="V373">
        <f t="shared" si="36"/>
        <v>-1.9993966704637702</v>
      </c>
      <c r="W373">
        <f t="shared" si="37"/>
        <v>0.33394098985648346</v>
      </c>
      <c r="X373">
        <f t="shared" si="38"/>
        <v>1</v>
      </c>
      <c r="Y373">
        <f t="shared" si="39"/>
        <v>0</v>
      </c>
      <c r="Z373">
        <f t="shared" si="40"/>
        <v>0</v>
      </c>
      <c r="AA373">
        <f t="shared" si="41"/>
        <v>0</v>
      </c>
    </row>
    <row r="374" spans="1:27" x14ac:dyDescent="0.35">
      <c r="A374" s="1">
        <v>-0.42531520374682902</v>
      </c>
      <c r="B374" s="1">
        <v>-1.9496069527950799</v>
      </c>
      <c r="C374" s="1">
        <v>4.0574751205481999E-2</v>
      </c>
      <c r="D374" s="1">
        <v>90.168859999999995</v>
      </c>
      <c r="E374" s="1">
        <v>37.969850000000001</v>
      </c>
      <c r="F374" s="1">
        <v>2.13889</v>
      </c>
      <c r="G374" s="1">
        <v>1.29447</v>
      </c>
      <c r="H374" s="1">
        <v>0.89949320303603897</v>
      </c>
      <c r="I374" s="1">
        <v>9.8519999999999996E-2</v>
      </c>
      <c r="J374" s="1">
        <v>60625973</v>
      </c>
      <c r="K374" s="1">
        <v>56565426</v>
      </c>
      <c r="L374">
        <v>574144140</v>
      </c>
      <c r="M374">
        <v>-1375651</v>
      </c>
      <c r="N374">
        <v>490839680</v>
      </c>
      <c r="O374" s="1">
        <v>-4037163.9999999995</v>
      </c>
      <c r="P374" s="1">
        <v>218001650</v>
      </c>
      <c r="Q374">
        <v>248654972</v>
      </c>
      <c r="R374">
        <v>192089546</v>
      </c>
      <c r="S374">
        <v>22141021</v>
      </c>
      <c r="T374">
        <v>0.27079999999999999</v>
      </c>
      <c r="U374">
        <f t="shared" si="35"/>
        <v>0.55710304369479446</v>
      </c>
      <c r="V374">
        <f t="shared" si="36"/>
        <v>-2.0988985444802508</v>
      </c>
      <c r="W374">
        <f t="shared" si="37"/>
        <v>0.35071786980182362</v>
      </c>
      <c r="X374">
        <f t="shared" si="38"/>
        <v>1</v>
      </c>
      <c r="Y374">
        <f t="shared" si="39"/>
        <v>0</v>
      </c>
      <c r="Z374">
        <f t="shared" si="40"/>
        <v>0</v>
      </c>
      <c r="AA374">
        <f t="shared" si="41"/>
        <v>0</v>
      </c>
    </row>
    <row r="375" spans="1:27" x14ac:dyDescent="0.35">
      <c r="A375" s="1">
        <v>19.821086165851298</v>
      </c>
      <c r="B375" s="1">
        <v>42.961519020872998</v>
      </c>
      <c r="C375" s="1">
        <v>0.207097633316048</v>
      </c>
      <c r="D375" s="1">
        <v>74.552599999999998</v>
      </c>
      <c r="E375" s="1">
        <v>34.327170000000002</v>
      </c>
      <c r="F375" s="1">
        <v>14.044460000000001</v>
      </c>
      <c r="G375" s="1">
        <v>1.4477199999999999</v>
      </c>
      <c r="H375" s="1">
        <v>0.95903367401280004</v>
      </c>
      <c r="I375" s="1">
        <v>0.16017000000000001</v>
      </c>
      <c r="J375" s="1">
        <v>158698587</v>
      </c>
      <c r="K375" s="1">
        <v>132811315</v>
      </c>
      <c r="L375">
        <v>829181216</v>
      </c>
      <c r="M375">
        <v>139938858</v>
      </c>
      <c r="N375">
        <v>672918136</v>
      </c>
      <c r="O375" s="1">
        <v>136629890</v>
      </c>
      <c r="P375" s="1">
        <v>284634483</v>
      </c>
      <c r="Q375">
        <v>429449055</v>
      </c>
      <c r="R375">
        <v>296637740</v>
      </c>
      <c r="S375">
        <v>145312680</v>
      </c>
      <c r="T375">
        <v>0.29697000000000001</v>
      </c>
      <c r="U375">
        <f t="shared" si="35"/>
        <v>1.3389625092799213</v>
      </c>
      <c r="V375">
        <f t="shared" si="36"/>
        <v>-3.0790561038623134</v>
      </c>
      <c r="W375">
        <f t="shared" si="37"/>
        <v>0.92046518335745786</v>
      </c>
      <c r="X375">
        <f t="shared" si="38"/>
        <v>0</v>
      </c>
      <c r="Y375">
        <f t="shared" si="39"/>
        <v>0</v>
      </c>
      <c r="Z375">
        <f t="shared" si="40"/>
        <v>0</v>
      </c>
      <c r="AA375">
        <f t="shared" si="41"/>
        <v>0</v>
      </c>
    </row>
    <row r="376" spans="1:27" x14ac:dyDescent="0.35">
      <c r="A376" s="1">
        <v>32.986789875110802</v>
      </c>
      <c r="B376" s="1">
        <v>60.119528216203399</v>
      </c>
      <c r="C376" s="1">
        <v>0.34407005619798497</v>
      </c>
      <c r="D376" s="1">
        <v>46.954659999999997</v>
      </c>
      <c r="E376" s="1">
        <v>26.317799999999998</v>
      </c>
      <c r="F376" s="1">
        <v>25.65635</v>
      </c>
      <c r="G376" s="1">
        <v>2.04434</v>
      </c>
      <c r="H376" s="1">
        <v>1.1610628867675099</v>
      </c>
      <c r="I376" s="1">
        <v>0.28878999999999999</v>
      </c>
      <c r="J376" s="1">
        <v>459787647</v>
      </c>
      <c r="K376" s="1">
        <v>333098320</v>
      </c>
      <c r="L376">
        <v>1153416013</v>
      </c>
      <c r="M376">
        <v>329906143</v>
      </c>
      <c r="N376">
        <v>1150960031</v>
      </c>
      <c r="O376" s="1">
        <v>324451350</v>
      </c>
      <c r="P376" s="1">
        <v>303553751</v>
      </c>
      <c r="Q376">
        <v>652053930</v>
      </c>
      <c r="R376">
        <v>318955610</v>
      </c>
      <c r="S376">
        <v>341076170</v>
      </c>
      <c r="T376">
        <v>0.37877</v>
      </c>
      <c r="U376">
        <f t="shared" si="35"/>
        <v>2.2870927837051584</v>
      </c>
      <c r="V376">
        <f t="shared" si="36"/>
        <v>-4.0575400344081478</v>
      </c>
      <c r="W376">
        <f t="shared" si="37"/>
        <v>1.5446043968014511</v>
      </c>
      <c r="X376">
        <f t="shared" si="38"/>
        <v>0</v>
      </c>
      <c r="Y376">
        <f t="shared" si="39"/>
        <v>0</v>
      </c>
      <c r="Z376">
        <f t="shared" si="40"/>
        <v>0</v>
      </c>
      <c r="AA376">
        <f t="shared" si="41"/>
        <v>0</v>
      </c>
    </row>
    <row r="377" spans="1:27" x14ac:dyDescent="0.35">
      <c r="A377" s="1">
        <v>9.1269067888328603</v>
      </c>
      <c r="B377" s="1">
        <v>16.066012314150001</v>
      </c>
      <c r="C377" s="1">
        <v>8.6895065168055993E-2</v>
      </c>
      <c r="D377" s="1">
        <v>59.907049999999998</v>
      </c>
      <c r="E377" s="1">
        <v>32.671689999999998</v>
      </c>
      <c r="F377" s="1">
        <v>4.67469</v>
      </c>
      <c r="G377" s="1">
        <v>2.40069</v>
      </c>
      <c r="H377" s="1">
        <v>0.64089846838666997</v>
      </c>
      <c r="I377" s="1">
        <v>0.2737</v>
      </c>
      <c r="J377" s="1">
        <v>258606497</v>
      </c>
      <c r="K377" s="1">
        <v>344036870</v>
      </c>
      <c r="L377">
        <v>1256963375</v>
      </c>
      <c r="M377">
        <v>112482830</v>
      </c>
      <c r="N377">
        <v>772404229</v>
      </c>
      <c r="O377" s="1">
        <v>103927888</v>
      </c>
      <c r="P377" s="1">
        <v>410671119</v>
      </c>
      <c r="Q377">
        <v>589655846</v>
      </c>
      <c r="R377">
        <v>245618976</v>
      </c>
      <c r="S377">
        <v>104725037</v>
      </c>
      <c r="T377">
        <v>0.37747000000000003</v>
      </c>
      <c r="U377">
        <f t="shared" si="35"/>
        <v>1.0857471578761415</v>
      </c>
      <c r="V377">
        <f t="shared" si="36"/>
        <v>-2.8001788800428526</v>
      </c>
      <c r="W377">
        <f t="shared" si="37"/>
        <v>0.79354310544728479</v>
      </c>
      <c r="X377">
        <f t="shared" si="38"/>
        <v>0</v>
      </c>
      <c r="Y377">
        <f t="shared" si="39"/>
        <v>0</v>
      </c>
      <c r="Z377">
        <f t="shared" si="40"/>
        <v>0</v>
      </c>
      <c r="AA377">
        <f t="shared" si="41"/>
        <v>0</v>
      </c>
    </row>
    <row r="378" spans="1:27" x14ac:dyDescent="0.35">
      <c r="A378" s="1">
        <v>6.0479029206936801</v>
      </c>
      <c r="B378" s="1">
        <v>10.142983927808199</v>
      </c>
      <c r="C378" s="1">
        <v>7.4699227384526001E-2</v>
      </c>
      <c r="D378" s="1">
        <v>55.633830000000003</v>
      </c>
      <c r="E378" s="1">
        <v>31.394400000000001</v>
      </c>
      <c r="F378" s="1">
        <v>3.6379600000000001</v>
      </c>
      <c r="G378" s="1">
        <v>2.7175500000000001</v>
      </c>
      <c r="H378" s="1">
        <v>0.57934461086613198</v>
      </c>
      <c r="I378" s="1">
        <v>0.29943999999999998</v>
      </c>
      <c r="J378" s="1">
        <v>137205798</v>
      </c>
      <c r="K378" s="1">
        <v>385881653</v>
      </c>
      <c r="L378">
        <v>1288689755</v>
      </c>
      <c r="M378">
        <v>92451994</v>
      </c>
      <c r="N378">
        <v>737405211</v>
      </c>
      <c r="O378" s="1">
        <v>84723472</v>
      </c>
      <c r="P378" s="1">
        <v>404576469</v>
      </c>
      <c r="Q378">
        <v>610551560</v>
      </c>
      <c r="R378">
        <v>224669907</v>
      </c>
      <c r="S378">
        <v>95079161</v>
      </c>
      <c r="T378">
        <v>0.39665</v>
      </c>
      <c r="U378">
        <f t="shared" si="35"/>
        <v>1.0354002548643295</v>
      </c>
      <c r="V378">
        <f t="shared" si="36"/>
        <v>-2.7954962559391587</v>
      </c>
      <c r="W378">
        <f t="shared" si="37"/>
        <v>0.8032694285530344</v>
      </c>
      <c r="X378">
        <f t="shared" si="38"/>
        <v>0</v>
      </c>
      <c r="Y378">
        <f t="shared" si="39"/>
        <v>0</v>
      </c>
      <c r="Z378">
        <f t="shared" si="40"/>
        <v>0</v>
      </c>
      <c r="AA378">
        <f t="shared" si="41"/>
        <v>0</v>
      </c>
    </row>
    <row r="379" spans="1:27" x14ac:dyDescent="0.35">
      <c r="A379" s="1" t="s">
        <v>3</v>
      </c>
      <c r="B379" s="1" t="s">
        <v>3</v>
      </c>
      <c r="C379" s="1" t="s">
        <v>3</v>
      </c>
      <c r="D379" s="1" t="s">
        <v>3</v>
      </c>
      <c r="E379" s="1" t="s">
        <v>3</v>
      </c>
      <c r="F379" s="1" t="s">
        <v>3</v>
      </c>
      <c r="G379" s="1" t="s">
        <v>3</v>
      </c>
      <c r="H379" s="1" t="s">
        <v>3</v>
      </c>
      <c r="I379" s="1" t="s">
        <v>3</v>
      </c>
      <c r="J379" s="1" t="s">
        <v>3</v>
      </c>
      <c r="K379" s="1" t="s">
        <v>3</v>
      </c>
      <c r="L379" s="1" t="s">
        <v>3</v>
      </c>
      <c r="M379" s="1" t="s">
        <v>3</v>
      </c>
      <c r="N379" s="1" t="s">
        <v>3</v>
      </c>
      <c r="O379" s="1" t="s">
        <v>3</v>
      </c>
      <c r="P379" s="1" t="s">
        <v>3</v>
      </c>
      <c r="Q379" s="1" t="s">
        <v>3</v>
      </c>
      <c r="R379" s="1" t="s">
        <v>3</v>
      </c>
      <c r="S379" s="1" t="s">
        <v>3</v>
      </c>
      <c r="T379" s="1" t="s">
        <v>3</v>
      </c>
      <c r="U379" t="e">
        <f t="shared" si="35"/>
        <v>#VALUE!</v>
      </c>
      <c r="V379" t="e">
        <f t="shared" si="36"/>
        <v>#VALUE!</v>
      </c>
      <c r="W379" t="e">
        <f t="shared" si="37"/>
        <v>#VALUE!</v>
      </c>
      <c r="X379" t="e">
        <f t="shared" si="38"/>
        <v>#VALUE!</v>
      </c>
      <c r="Y379" t="e">
        <f t="shared" si="39"/>
        <v>#VALUE!</v>
      </c>
      <c r="Z379" t="e">
        <f t="shared" si="40"/>
        <v>#VALUE!</v>
      </c>
      <c r="AA379" t="e">
        <f t="shared" si="41"/>
        <v>#VALUE!</v>
      </c>
    </row>
    <row r="380" spans="1:27" x14ac:dyDescent="0.35">
      <c r="A380" s="1" t="s">
        <v>3</v>
      </c>
      <c r="B380" s="1" t="s">
        <v>3</v>
      </c>
      <c r="C380" s="1" t="s">
        <v>3</v>
      </c>
      <c r="D380" s="1" t="s">
        <v>3</v>
      </c>
      <c r="E380" s="1" t="s">
        <v>3</v>
      </c>
      <c r="F380" s="1" t="s">
        <v>3</v>
      </c>
      <c r="G380" s="1" t="s">
        <v>3</v>
      </c>
      <c r="H380" s="1" t="s">
        <v>3</v>
      </c>
      <c r="I380" s="1" t="s">
        <v>3</v>
      </c>
      <c r="J380" s="1" t="s">
        <v>3</v>
      </c>
      <c r="K380" s="1" t="s">
        <v>3</v>
      </c>
      <c r="L380" s="1" t="s">
        <v>3</v>
      </c>
      <c r="M380" s="1" t="s">
        <v>3</v>
      </c>
      <c r="N380" s="1" t="s">
        <v>3</v>
      </c>
      <c r="O380" s="1" t="s">
        <v>3</v>
      </c>
      <c r="P380" s="1" t="s">
        <v>3</v>
      </c>
      <c r="Q380" s="1" t="s">
        <v>3</v>
      </c>
      <c r="R380" s="1" t="s">
        <v>3</v>
      </c>
      <c r="S380" s="1" t="s">
        <v>3</v>
      </c>
      <c r="T380" s="1" t="s">
        <v>3</v>
      </c>
      <c r="U380" t="e">
        <f t="shared" si="35"/>
        <v>#VALUE!</v>
      </c>
      <c r="V380" t="e">
        <f t="shared" si="36"/>
        <v>#VALUE!</v>
      </c>
      <c r="W380" t="e">
        <f t="shared" si="37"/>
        <v>#VALUE!</v>
      </c>
      <c r="X380" t="e">
        <f t="shared" si="38"/>
        <v>#VALUE!</v>
      </c>
      <c r="Y380" t="e">
        <f t="shared" si="39"/>
        <v>#VALUE!</v>
      </c>
      <c r="Z380" t="e">
        <f t="shared" si="40"/>
        <v>#VALUE!</v>
      </c>
      <c r="AA380" t="e">
        <f t="shared" si="41"/>
        <v>#VALUE!</v>
      </c>
    </row>
    <row r="381" spans="1:27" x14ac:dyDescent="0.35">
      <c r="A381" s="1" t="s">
        <v>3</v>
      </c>
      <c r="B381" s="1" t="s">
        <v>3</v>
      </c>
      <c r="C381" s="1" t="s">
        <v>3</v>
      </c>
      <c r="D381" s="1" t="s">
        <v>3</v>
      </c>
      <c r="E381" s="1" t="s">
        <v>3</v>
      </c>
      <c r="F381" s="1" t="s">
        <v>3</v>
      </c>
      <c r="G381" s="1" t="s">
        <v>3</v>
      </c>
      <c r="H381" s="1" t="s">
        <v>3</v>
      </c>
      <c r="I381" s="1" t="s">
        <v>3</v>
      </c>
      <c r="J381" s="1" t="s">
        <v>3</v>
      </c>
      <c r="K381" s="1" t="s">
        <v>3</v>
      </c>
      <c r="L381" s="1" t="s">
        <v>3</v>
      </c>
      <c r="M381" s="1" t="s">
        <v>3</v>
      </c>
      <c r="N381" s="1" t="s">
        <v>3</v>
      </c>
      <c r="O381" s="1" t="s">
        <v>3</v>
      </c>
      <c r="P381" s="1" t="s">
        <v>3</v>
      </c>
      <c r="Q381" s="1" t="s">
        <v>3</v>
      </c>
      <c r="R381" s="1" t="s">
        <v>3</v>
      </c>
      <c r="S381" s="1" t="s">
        <v>3</v>
      </c>
      <c r="T381" s="1" t="s">
        <v>3</v>
      </c>
      <c r="U381" t="e">
        <f t="shared" si="35"/>
        <v>#VALUE!</v>
      </c>
      <c r="V381" t="e">
        <f t="shared" si="36"/>
        <v>#VALUE!</v>
      </c>
      <c r="W381" t="e">
        <f t="shared" si="37"/>
        <v>#VALUE!</v>
      </c>
      <c r="X381" t="e">
        <f t="shared" si="38"/>
        <v>#VALUE!</v>
      </c>
      <c r="Y381" t="e">
        <f t="shared" si="39"/>
        <v>#VALUE!</v>
      </c>
      <c r="Z381" t="e">
        <f t="shared" si="40"/>
        <v>#VALUE!</v>
      </c>
      <c r="AA381" t="e">
        <f t="shared" si="41"/>
        <v>#VALUE!</v>
      </c>
    </row>
    <row r="382" spans="1:27" x14ac:dyDescent="0.35">
      <c r="A382" s="1" t="s">
        <v>3</v>
      </c>
      <c r="B382" s="1" t="s">
        <v>3</v>
      </c>
      <c r="C382" s="1" t="s">
        <v>3</v>
      </c>
      <c r="D382" s="1" t="s">
        <v>3</v>
      </c>
      <c r="E382" s="1" t="s">
        <v>3</v>
      </c>
      <c r="F382" s="1" t="s">
        <v>3</v>
      </c>
      <c r="G382" s="1" t="s">
        <v>3</v>
      </c>
      <c r="H382" s="1" t="s">
        <v>3</v>
      </c>
      <c r="I382" s="1" t="s">
        <v>3</v>
      </c>
      <c r="J382" s="1" t="s">
        <v>3</v>
      </c>
      <c r="K382" s="1" t="s">
        <v>3</v>
      </c>
      <c r="L382" s="1" t="s">
        <v>3</v>
      </c>
      <c r="M382" s="1" t="s">
        <v>3</v>
      </c>
      <c r="N382" s="1" t="s">
        <v>3</v>
      </c>
      <c r="O382" s="1" t="s">
        <v>3</v>
      </c>
      <c r="P382" s="1" t="s">
        <v>3</v>
      </c>
      <c r="Q382" s="1" t="s">
        <v>3</v>
      </c>
      <c r="R382" s="1" t="s">
        <v>3</v>
      </c>
      <c r="S382" s="1" t="s">
        <v>3</v>
      </c>
      <c r="T382" s="1" t="s">
        <v>3</v>
      </c>
      <c r="U382" t="e">
        <f t="shared" si="35"/>
        <v>#VALUE!</v>
      </c>
      <c r="V382" t="e">
        <f t="shared" si="36"/>
        <v>#VALUE!</v>
      </c>
      <c r="W382" t="e">
        <f t="shared" si="37"/>
        <v>#VALUE!</v>
      </c>
      <c r="X382" t="e">
        <f t="shared" si="38"/>
        <v>#VALUE!</v>
      </c>
      <c r="Y382" t="e">
        <f t="shared" si="39"/>
        <v>#VALUE!</v>
      </c>
      <c r="Z382" t="e">
        <f t="shared" si="40"/>
        <v>#VALUE!</v>
      </c>
      <c r="AA382" t="e">
        <f t="shared" si="41"/>
        <v>#VALUE!</v>
      </c>
    </row>
    <row r="383" spans="1:27" x14ac:dyDescent="0.35">
      <c r="A383" s="1" t="s">
        <v>3</v>
      </c>
      <c r="B383" s="1" t="s">
        <v>3</v>
      </c>
      <c r="C383" s="1" t="s">
        <v>3</v>
      </c>
      <c r="D383" s="1" t="s">
        <v>3</v>
      </c>
      <c r="E383" s="1" t="s">
        <v>3</v>
      </c>
      <c r="F383" s="1" t="s">
        <v>3</v>
      </c>
      <c r="G383" s="1" t="s">
        <v>3</v>
      </c>
      <c r="H383" s="1" t="s">
        <v>3</v>
      </c>
      <c r="I383" s="1" t="s">
        <v>3</v>
      </c>
      <c r="J383" s="1" t="s">
        <v>3</v>
      </c>
      <c r="K383" s="1" t="s">
        <v>3</v>
      </c>
      <c r="L383" s="1" t="s">
        <v>3</v>
      </c>
      <c r="M383" s="1" t="s">
        <v>3</v>
      </c>
      <c r="N383" s="1" t="s">
        <v>3</v>
      </c>
      <c r="O383" s="1" t="s">
        <v>3</v>
      </c>
      <c r="P383" s="1" t="s">
        <v>3</v>
      </c>
      <c r="Q383" s="1" t="s">
        <v>3</v>
      </c>
      <c r="R383" s="1" t="s">
        <v>3</v>
      </c>
      <c r="S383" s="1" t="s">
        <v>3</v>
      </c>
      <c r="T383" s="1" t="s">
        <v>3</v>
      </c>
      <c r="U383" t="e">
        <f t="shared" si="35"/>
        <v>#VALUE!</v>
      </c>
      <c r="V383" t="e">
        <f t="shared" si="36"/>
        <v>#VALUE!</v>
      </c>
      <c r="W383" t="e">
        <f t="shared" si="37"/>
        <v>#VALUE!</v>
      </c>
      <c r="X383" t="e">
        <f t="shared" si="38"/>
        <v>#VALUE!</v>
      </c>
      <c r="Y383" t="e">
        <f t="shared" si="39"/>
        <v>#VALUE!</v>
      </c>
      <c r="Z383" t="e">
        <f t="shared" si="40"/>
        <v>#VALUE!</v>
      </c>
      <c r="AA383" t="e">
        <f t="shared" si="41"/>
        <v>#VALUE!</v>
      </c>
    </row>
    <row r="384" spans="1:27" x14ac:dyDescent="0.35">
      <c r="A384" s="1" t="s">
        <v>3</v>
      </c>
      <c r="B384" s="1" t="s">
        <v>3</v>
      </c>
      <c r="C384" s="1" t="s">
        <v>3</v>
      </c>
      <c r="D384" s="1">
        <v>364.06090999999998</v>
      </c>
      <c r="E384" s="1">
        <v>57.529850000000003</v>
      </c>
      <c r="F384" s="1">
        <v>-3.4133599999999999</v>
      </c>
      <c r="G384" s="1">
        <v>0.68689</v>
      </c>
      <c r="H384" s="1" t="s">
        <v>3</v>
      </c>
      <c r="I384" s="1">
        <v>-0.10367</v>
      </c>
      <c r="J384" s="1">
        <v>116775848000</v>
      </c>
      <c r="K384" s="1">
        <v>-31585474000</v>
      </c>
      <c r="L384">
        <v>304669382000</v>
      </c>
      <c r="M384">
        <v>3417373000</v>
      </c>
      <c r="N384">
        <v>187995495000</v>
      </c>
      <c r="O384">
        <v>2868085000</v>
      </c>
      <c r="P384">
        <v>175275834000</v>
      </c>
      <c r="Q384">
        <v>69292512000</v>
      </c>
      <c r="R384">
        <v>100877986000</v>
      </c>
      <c r="S384">
        <v>-104427216000</v>
      </c>
      <c r="T384">
        <v>1.128E-2</v>
      </c>
      <c r="U384">
        <f t="shared" si="35"/>
        <v>-0.88986456164611449</v>
      </c>
      <c r="V384">
        <f t="shared" si="36"/>
        <v>-1.060412984562894</v>
      </c>
      <c r="W384">
        <f t="shared" si="37"/>
        <v>-1.2806479885464828</v>
      </c>
      <c r="X384">
        <f t="shared" si="38"/>
        <v>1</v>
      </c>
      <c r="Y384">
        <f t="shared" si="39"/>
        <v>0</v>
      </c>
      <c r="Z384">
        <f t="shared" si="40"/>
        <v>1</v>
      </c>
      <c r="AA384">
        <f t="shared" si="41"/>
        <v>1</v>
      </c>
    </row>
    <row r="385" spans="1:27" x14ac:dyDescent="0.35">
      <c r="A385" s="1">
        <v>7.36222576486053</v>
      </c>
      <c r="B385" s="1">
        <v>37.292403619661101</v>
      </c>
      <c r="C385" s="1">
        <v>-0.15644517089242899</v>
      </c>
      <c r="D385" s="1">
        <v>282.40906999999999</v>
      </c>
      <c r="E385" s="1">
        <v>60.873750000000001</v>
      </c>
      <c r="F385" s="1">
        <v>-2.38652</v>
      </c>
      <c r="G385" s="1">
        <v>1.1277600000000001</v>
      </c>
      <c r="H385" s="1">
        <v>0.45528459579393499</v>
      </c>
      <c r="I385" s="1">
        <v>3.1460000000000002E-2</v>
      </c>
      <c r="J385" s="1">
        <v>98091850000</v>
      </c>
      <c r="K385" s="1">
        <v>20718729000</v>
      </c>
      <c r="L385">
        <v>658482853000</v>
      </c>
      <c r="M385">
        <v>46337068000</v>
      </c>
      <c r="N385">
        <v>219254188000</v>
      </c>
      <c r="O385">
        <v>35454721000</v>
      </c>
      <c r="P385">
        <v>400843220000</v>
      </c>
      <c r="Q385">
        <v>182892915000</v>
      </c>
      <c r="R385">
        <v>162174186000</v>
      </c>
      <c r="S385">
        <v>-75340258000</v>
      </c>
      <c r="T385">
        <v>5.8430000000000003E-2</v>
      </c>
      <c r="U385">
        <f t="shared" si="35"/>
        <v>2.9198592670272305E-3</v>
      </c>
      <c r="V385">
        <f t="shared" si="36"/>
        <v>-1.0679787988139802</v>
      </c>
      <c r="W385">
        <f t="shared" si="37"/>
        <v>-0.27969071083009656</v>
      </c>
      <c r="X385">
        <f t="shared" si="38"/>
        <v>1</v>
      </c>
      <c r="Y385">
        <f t="shared" si="39"/>
        <v>0</v>
      </c>
      <c r="Z385">
        <f t="shared" si="40"/>
        <v>1</v>
      </c>
      <c r="AA385">
        <f t="shared" si="41"/>
        <v>1</v>
      </c>
    </row>
    <row r="386" spans="1:27" x14ac:dyDescent="0.35">
      <c r="A386" s="1">
        <v>7.2629025543268799</v>
      </c>
      <c r="B386" s="1">
        <v>34.285829435617799</v>
      </c>
      <c r="C386" s="1">
        <v>0.148710981869007</v>
      </c>
      <c r="D386" s="1">
        <v>296.93070999999998</v>
      </c>
      <c r="E386" s="1">
        <v>61.557099999999998</v>
      </c>
      <c r="F386" s="1">
        <v>2.2235</v>
      </c>
      <c r="G386" s="1">
        <v>0.49023</v>
      </c>
      <c r="H386" s="1">
        <v>0.408242397631087</v>
      </c>
      <c r="I386" s="1">
        <v>-0.13941000000000001</v>
      </c>
      <c r="J386" s="1">
        <v>233801035000</v>
      </c>
      <c r="K386" s="1">
        <v>-139291544000</v>
      </c>
      <c r="L386">
        <v>999156515000</v>
      </c>
      <c r="M386">
        <v>81786511000</v>
      </c>
      <c r="N386">
        <v>338359335000</v>
      </c>
      <c r="O386">
        <v>60196366000</v>
      </c>
      <c r="P386">
        <v>615051750000</v>
      </c>
      <c r="Q386">
        <v>133950890000</v>
      </c>
      <c r="R386">
        <v>273242434000</v>
      </c>
      <c r="S386">
        <v>123254589000</v>
      </c>
      <c r="T386">
        <v>7.1110000000000007E-2</v>
      </c>
      <c r="U386">
        <f t="shared" ref="U386:U449" si="42">1.03*(K386/L386) + 3.07*(S386/L386) + 0.66*(M386/R386) +0.4*(N386/L386)</f>
        <v>0.56812780774003158</v>
      </c>
      <c r="V386">
        <f t="shared" ref="V386:V449" si="43">-4.3-4.5*(O386/L386)+5.7*(P386/L386)+0.004*(Q386/R386)</f>
        <v>-1.0603968602992033</v>
      </c>
      <c r="W386">
        <f t="shared" ref="W386:W449" si="44">0.057+1.65*(K386/L386)+3.404*(S386/L386)+0.016*(O386/L386)</f>
        <v>0.24785169575459357</v>
      </c>
      <c r="X386">
        <f t="shared" si="38"/>
        <v>1</v>
      </c>
      <c r="Y386">
        <f t="shared" si="39"/>
        <v>0</v>
      </c>
      <c r="Z386">
        <f t="shared" si="40"/>
        <v>0</v>
      </c>
      <c r="AA386">
        <f t="shared" si="41"/>
        <v>0</v>
      </c>
    </row>
    <row r="387" spans="1:27" x14ac:dyDescent="0.35">
      <c r="A387" s="1">
        <v>5.7054787572416004</v>
      </c>
      <c r="B387" s="1">
        <v>17.741279325281301</v>
      </c>
      <c r="C387" s="1">
        <v>7.2465014840757999E-2</v>
      </c>
      <c r="D387" s="1">
        <v>123.64053</v>
      </c>
      <c r="E387" s="1">
        <v>47.632910000000003</v>
      </c>
      <c r="F387" s="1" t="s">
        <v>3</v>
      </c>
      <c r="G387" s="1">
        <v>1.4553199999999999</v>
      </c>
      <c r="H387" s="1">
        <v>0.37445989786101302</v>
      </c>
      <c r="I387" s="1">
        <v>9.5310000000000006E-2</v>
      </c>
      <c r="J387" s="1">
        <v>234837889000</v>
      </c>
      <c r="K387" s="1">
        <v>169917771000</v>
      </c>
      <c r="L387">
        <v>1782787661000</v>
      </c>
      <c r="M387">
        <v>106949489000</v>
      </c>
      <c r="N387">
        <v>520863266000</v>
      </c>
      <c r="O387">
        <v>79361617000</v>
      </c>
      <c r="P387">
        <v>849193649000</v>
      </c>
      <c r="Q387">
        <v>543097779000</v>
      </c>
      <c r="R387">
        <v>373180008000</v>
      </c>
      <c r="S387">
        <v>100796813000</v>
      </c>
      <c r="T387">
        <v>8.4250000000000005E-2</v>
      </c>
      <c r="U387">
        <f t="shared" si="42"/>
        <v>0.57775781769532486</v>
      </c>
      <c r="V387">
        <f t="shared" si="43"/>
        <v>-1.7794223928281663</v>
      </c>
      <c r="W387">
        <f t="shared" si="44"/>
        <v>0.4074323443228049</v>
      </c>
      <c r="X387">
        <f t="shared" ref="X387:X450" si="45">IF(U387&gt;=0.862,0,1)</f>
        <v>1</v>
      </c>
      <c r="Y387">
        <f t="shared" ref="Y387:Y450" si="46">IF(V387&lt;=0,0,1)</f>
        <v>0</v>
      </c>
      <c r="Z387">
        <f t="shared" ref="Z387:Z450" si="47">IF(W387&gt;=0.01,0,1)</f>
        <v>0</v>
      </c>
      <c r="AA387">
        <f t="shared" ref="AA387:AA450" si="48">IF(SUM(X387:Z387)&gt;=2,1,0)</f>
        <v>0</v>
      </c>
    </row>
    <row r="388" spans="1:27" x14ac:dyDescent="0.35">
      <c r="A388" s="1">
        <v>6.76617186924289</v>
      </c>
      <c r="B388" s="1">
        <v>17.8613056345248</v>
      </c>
      <c r="C388" s="1">
        <v>0.112774664882695</v>
      </c>
      <c r="D388" s="1">
        <v>114.22792</v>
      </c>
      <c r="E388" s="1">
        <v>42.608939999999997</v>
      </c>
      <c r="F388" s="1">
        <v>2.6121500000000002</v>
      </c>
      <c r="G388" s="1">
        <v>1.03776</v>
      </c>
      <c r="H388" s="1">
        <v>0.350483188853219</v>
      </c>
      <c r="I388" s="1">
        <v>1.0160000000000001E-2</v>
      </c>
      <c r="J388" s="1">
        <v>190570101000</v>
      </c>
      <c r="K388" s="1">
        <v>21715143000</v>
      </c>
      <c r="L388">
        <v>2137040347000</v>
      </c>
      <c r="M388">
        <v>173953907000</v>
      </c>
      <c r="N388">
        <v>686916910000</v>
      </c>
      <c r="O388">
        <v>132611150000</v>
      </c>
      <c r="P388">
        <v>910570278000</v>
      </c>
      <c r="Q388">
        <v>596729838000</v>
      </c>
      <c r="R388">
        <v>575014695000</v>
      </c>
      <c r="S388">
        <v>221028645000</v>
      </c>
      <c r="T388">
        <v>0.12221</v>
      </c>
      <c r="U388">
        <f t="shared" si="42"/>
        <v>0.65622567657675979</v>
      </c>
      <c r="V388">
        <f t="shared" si="43"/>
        <v>-2.1463806757332486</v>
      </c>
      <c r="W388">
        <f t="shared" si="44"/>
        <v>0.42682608823435564</v>
      </c>
      <c r="X388">
        <f t="shared" si="45"/>
        <v>1</v>
      </c>
      <c r="Y388">
        <f t="shared" si="46"/>
        <v>0</v>
      </c>
      <c r="Z388">
        <f t="shared" si="47"/>
        <v>0</v>
      </c>
      <c r="AA388">
        <f t="shared" si="48"/>
        <v>0</v>
      </c>
    </row>
    <row r="389" spans="1:27" x14ac:dyDescent="0.35">
      <c r="A389" s="1">
        <v>4.6186878245968002</v>
      </c>
      <c r="B389" s="1">
        <v>14.113656804363099</v>
      </c>
      <c r="C389" s="1">
        <v>0.110132852951025</v>
      </c>
      <c r="D389" s="1">
        <v>197.00679</v>
      </c>
      <c r="E389" s="1">
        <v>57.998489999999997</v>
      </c>
      <c r="F389" s="1">
        <v>1.8422099999999999</v>
      </c>
      <c r="G389" s="1">
        <v>1.31074</v>
      </c>
      <c r="H389" s="1">
        <v>0.345617746262745</v>
      </c>
      <c r="I389" s="1">
        <v>5.2940000000000001E-2</v>
      </c>
      <c r="J389" s="1">
        <v>19056077000</v>
      </c>
      <c r="K389" s="1">
        <v>159425658000</v>
      </c>
      <c r="L389">
        <v>3011555034000</v>
      </c>
      <c r="M389">
        <v>153392497000</v>
      </c>
      <c r="N389">
        <v>889722966000</v>
      </c>
      <c r="O389">
        <v>118898774000</v>
      </c>
      <c r="P389">
        <v>1746656367000</v>
      </c>
      <c r="Q389">
        <v>672476985000</v>
      </c>
      <c r="R389">
        <v>513051327000</v>
      </c>
      <c r="S389">
        <v>283514749000</v>
      </c>
      <c r="T389">
        <v>0.11543</v>
      </c>
      <c r="U389">
        <f t="shared" si="42"/>
        <v>0.65904490613463396</v>
      </c>
      <c r="V389">
        <f t="shared" si="43"/>
        <v>-1.1665071144230401</v>
      </c>
      <c r="W389">
        <f t="shared" si="44"/>
        <v>0.46543979531937718</v>
      </c>
      <c r="X389">
        <f t="shared" si="45"/>
        <v>1</v>
      </c>
      <c r="Y389">
        <f t="shared" si="46"/>
        <v>0</v>
      </c>
      <c r="Z389">
        <f t="shared" si="47"/>
        <v>0</v>
      </c>
      <c r="AA389">
        <f t="shared" si="48"/>
        <v>0</v>
      </c>
    </row>
    <row r="390" spans="1:27" x14ac:dyDescent="0.35">
      <c r="A390" s="1">
        <v>1.09653192929473</v>
      </c>
      <c r="B390" s="1">
        <v>3.5715867862585999</v>
      </c>
      <c r="C390" s="1">
        <v>8.1389177685624994E-2</v>
      </c>
      <c r="D390" s="1">
        <v>177.29151999999999</v>
      </c>
      <c r="E390" s="1">
        <v>56.620510000000003</v>
      </c>
      <c r="F390" s="1">
        <v>1.16818</v>
      </c>
      <c r="G390" s="1">
        <v>1.45217</v>
      </c>
      <c r="H390" s="1">
        <v>0.32910391733052402</v>
      </c>
      <c r="I390" s="1">
        <v>6.676E-2</v>
      </c>
      <c r="J390" s="1">
        <v>268912139000</v>
      </c>
      <c r="K390" s="1">
        <v>192522261000</v>
      </c>
      <c r="L390">
        <v>2883807269000</v>
      </c>
      <c r="M390">
        <v>50716457000</v>
      </c>
      <c r="N390">
        <v>970093414000</v>
      </c>
      <c r="O390">
        <v>32322265000</v>
      </c>
      <c r="P390">
        <v>1632826372000</v>
      </c>
      <c r="Q390">
        <v>618300190000</v>
      </c>
      <c r="R390">
        <v>425777929000</v>
      </c>
      <c r="S390">
        <v>239909345000</v>
      </c>
      <c r="T390">
        <v>0.13242000000000001</v>
      </c>
      <c r="U390">
        <f t="shared" si="42"/>
        <v>0.53733470401185301</v>
      </c>
      <c r="V390">
        <f t="shared" si="43"/>
        <v>-1.1172591515070107</v>
      </c>
      <c r="W390">
        <f t="shared" si="44"/>
        <v>0.45051807919657477</v>
      </c>
      <c r="X390">
        <f t="shared" si="45"/>
        <v>1</v>
      </c>
      <c r="Y390">
        <f t="shared" si="46"/>
        <v>0</v>
      </c>
      <c r="Z390">
        <f t="shared" si="47"/>
        <v>0</v>
      </c>
      <c r="AA390">
        <f t="shared" si="48"/>
        <v>0</v>
      </c>
    </row>
    <row r="391" spans="1:27" x14ac:dyDescent="0.35">
      <c r="A391" s="1">
        <v>-6.7905896560466497</v>
      </c>
      <c r="B391" s="1">
        <v>-22.283483601463701</v>
      </c>
      <c r="C391" s="1">
        <v>-9.6281850721509996E-3</v>
      </c>
      <c r="D391" s="1">
        <v>208.47234</v>
      </c>
      <c r="E391" s="1">
        <v>60.058059999999998</v>
      </c>
      <c r="F391" s="1">
        <v>-0.13728000000000001</v>
      </c>
      <c r="G391" s="1">
        <v>4.0769200000000003</v>
      </c>
      <c r="H391" s="1">
        <v>0.22723729877232501</v>
      </c>
      <c r="I391" s="1">
        <v>0.21026</v>
      </c>
      <c r="J391" s="1">
        <v>-31435981000</v>
      </c>
      <c r="K391" s="1">
        <v>537695351000</v>
      </c>
      <c r="L391">
        <v>2557262840000</v>
      </c>
      <c r="M391">
        <v>-223364576000</v>
      </c>
      <c r="N391">
        <v>618207037000</v>
      </c>
      <c r="O391">
        <v>-184740372000</v>
      </c>
      <c r="P391">
        <v>1535842424000</v>
      </c>
      <c r="Q391">
        <v>712446735000</v>
      </c>
      <c r="R391">
        <v>174751384000</v>
      </c>
      <c r="S391">
        <v>-26193815000</v>
      </c>
      <c r="T391">
        <v>7.7380000000000004E-2</v>
      </c>
      <c r="U391">
        <f t="shared" si="42"/>
        <v>-0.56177959307900471</v>
      </c>
      <c r="V391">
        <f t="shared" si="43"/>
        <v>-0.53529645657552694</v>
      </c>
      <c r="W391">
        <f t="shared" si="44"/>
        <v>0.36790966657850471</v>
      </c>
      <c r="X391">
        <f t="shared" si="45"/>
        <v>1</v>
      </c>
      <c r="Y391">
        <f t="shared" si="46"/>
        <v>0</v>
      </c>
      <c r="Z391">
        <f t="shared" si="47"/>
        <v>0</v>
      </c>
      <c r="AA391">
        <f t="shared" si="48"/>
        <v>0</v>
      </c>
    </row>
    <row r="392" spans="1:27" x14ac:dyDescent="0.35">
      <c r="A392" s="1">
        <v>-21.549051389133901</v>
      </c>
      <c r="B392" s="1">
        <v>-100.023963131519</v>
      </c>
      <c r="C392" s="1">
        <v>-0.16760097903874099</v>
      </c>
      <c r="D392" s="1">
        <v>627.27958999999998</v>
      </c>
      <c r="E392" s="1">
        <v>76.931039999999996</v>
      </c>
      <c r="F392" s="1">
        <v>-2.0447000000000002</v>
      </c>
      <c r="G392" s="1">
        <v>0.84631999999999996</v>
      </c>
      <c r="H392" s="1">
        <v>0.133432590019716</v>
      </c>
      <c r="I392" s="1">
        <v>-4.0910000000000002E-2</v>
      </c>
      <c r="J392" s="1">
        <v>-99821638000</v>
      </c>
      <c r="K392" s="1">
        <v>-82235630000</v>
      </c>
      <c r="L392">
        <v>2010013010000</v>
      </c>
      <c r="M392">
        <v>-548791076000</v>
      </c>
      <c r="N392">
        <v>304711723000</v>
      </c>
      <c r="O392">
        <v>-492102310000</v>
      </c>
      <c r="P392">
        <v>1546323839000</v>
      </c>
      <c r="Q392">
        <v>452880577000</v>
      </c>
      <c r="R392">
        <v>535116207000</v>
      </c>
      <c r="S392">
        <v>-382739952000</v>
      </c>
      <c r="T392">
        <v>-0.14507</v>
      </c>
      <c r="U392">
        <f t="shared" si="42"/>
        <v>-1.2429470134286618</v>
      </c>
      <c r="V392">
        <f t="shared" si="43"/>
        <v>1.1901688171652451</v>
      </c>
      <c r="W392">
        <f t="shared" si="44"/>
        <v>-0.66260192091890979</v>
      </c>
      <c r="X392">
        <f t="shared" si="45"/>
        <v>1</v>
      </c>
      <c r="Y392">
        <f t="shared" si="46"/>
        <v>1</v>
      </c>
      <c r="Z392">
        <f t="shared" si="47"/>
        <v>1</v>
      </c>
      <c r="AA392">
        <f t="shared" si="48"/>
        <v>1</v>
      </c>
    </row>
    <row r="393" spans="1:27" x14ac:dyDescent="0.35">
      <c r="A393" s="1">
        <v>-51.040594141091901</v>
      </c>
      <c r="B393" s="1" t="s">
        <v>3</v>
      </c>
      <c r="C393" s="1">
        <v>-0.18356757119222999</v>
      </c>
      <c r="D393" s="1" t="s">
        <v>3</v>
      </c>
      <c r="E393" s="1">
        <v>125.52883</v>
      </c>
      <c r="F393" s="1">
        <v>-1.9585900000000001</v>
      </c>
      <c r="G393" s="1">
        <v>0.31140000000000001</v>
      </c>
      <c r="H393" s="1">
        <v>0.147399283699054</v>
      </c>
      <c r="I393" s="1">
        <v>-0.86995</v>
      </c>
      <c r="J393" s="1">
        <v>-49480165000</v>
      </c>
      <c r="K393" s="1">
        <v>-1103991305000</v>
      </c>
      <c r="L393">
        <v>1269024960000</v>
      </c>
      <c r="M393">
        <v>-872192278000</v>
      </c>
      <c r="N393">
        <v>241663924000</v>
      </c>
      <c r="O393">
        <v>-836820231000</v>
      </c>
      <c r="P393">
        <v>1592992130000</v>
      </c>
      <c r="Q393">
        <v>499247067000</v>
      </c>
      <c r="R393">
        <v>1603238372000</v>
      </c>
      <c r="S393">
        <v>-300962518000</v>
      </c>
      <c r="T393">
        <v>-0.88434999999999997</v>
      </c>
      <c r="U393">
        <f t="shared" si="42"/>
        <v>-1.9070130143525024</v>
      </c>
      <c r="V393">
        <f t="shared" si="43"/>
        <v>5.8237779229163031</v>
      </c>
      <c r="W393">
        <f t="shared" si="44"/>
        <v>-2.1962663094491064</v>
      </c>
      <c r="X393">
        <f t="shared" si="45"/>
        <v>1</v>
      </c>
      <c r="Y393">
        <f t="shared" si="46"/>
        <v>1</v>
      </c>
      <c r="Z393">
        <f t="shared" si="47"/>
        <v>1</v>
      </c>
      <c r="AA393">
        <f t="shared" si="48"/>
        <v>1</v>
      </c>
    </row>
    <row r="394" spans="1:27" x14ac:dyDescent="0.35">
      <c r="A394" s="1">
        <v>-31.582048292688299</v>
      </c>
      <c r="B394" s="1" t="s">
        <v>3</v>
      </c>
      <c r="C394" s="1">
        <v>-0.30083414677042303</v>
      </c>
      <c r="D394" s="1" t="s">
        <v>3</v>
      </c>
      <c r="E394" s="1">
        <v>153.65992</v>
      </c>
      <c r="F394" s="1">
        <v>-37.361469999999997</v>
      </c>
      <c r="G394" s="1">
        <v>0.29086000000000001</v>
      </c>
      <c r="H394" s="1">
        <v>0.15357987594063699</v>
      </c>
      <c r="I394" s="1">
        <v>-1.0667899999999999</v>
      </c>
      <c r="J394" s="1">
        <v>28226338000</v>
      </c>
      <c r="K394" s="1">
        <v>-511273962000</v>
      </c>
      <c r="L394">
        <v>479265331000</v>
      </c>
      <c r="M394">
        <v>-204508321000</v>
      </c>
      <c r="N394">
        <v>134251103000</v>
      </c>
      <c r="O394">
        <v>-276072942000</v>
      </c>
      <c r="P394">
        <v>736438703000</v>
      </c>
      <c r="Q394">
        <v>209703468000</v>
      </c>
      <c r="R394">
        <v>720977430000</v>
      </c>
      <c r="S394">
        <v>-262972709000</v>
      </c>
      <c r="T394">
        <v>-2.9027500000000002</v>
      </c>
      <c r="U394">
        <f t="shared" si="42"/>
        <v>-2.8584627329383387</v>
      </c>
      <c r="V394">
        <f t="shared" si="43"/>
        <v>7.0519299030710316</v>
      </c>
      <c r="W394">
        <f t="shared" si="44"/>
        <v>-3.5801884070371033</v>
      </c>
      <c r="X394">
        <f t="shared" si="45"/>
        <v>1</v>
      </c>
      <c r="Y394">
        <f t="shared" si="46"/>
        <v>1</v>
      </c>
      <c r="Z394">
        <f t="shared" si="47"/>
        <v>1</v>
      </c>
      <c r="AA394">
        <f t="shared" si="48"/>
        <v>1</v>
      </c>
    </row>
    <row r="395" spans="1:27" x14ac:dyDescent="0.35">
      <c r="A395">
        <v>-14.7313427405353</v>
      </c>
      <c r="B395" s="1" t="s">
        <v>3</v>
      </c>
      <c r="C395">
        <v>-0.255101214257206</v>
      </c>
      <c r="D395" s="1" t="s">
        <v>3</v>
      </c>
      <c r="E395" s="1">
        <v>259.21812</v>
      </c>
      <c r="F395" s="1">
        <v>-13.050829999999999</v>
      </c>
      <c r="G395" s="1">
        <v>0.27479999999999999</v>
      </c>
      <c r="H395" s="1">
        <v>5.9625236207979999E-2</v>
      </c>
      <c r="I395" s="1">
        <v>-1.73759</v>
      </c>
      <c r="J395" s="1">
        <v>21987270000</v>
      </c>
      <c r="K395" s="1">
        <v>-422759728000</v>
      </c>
      <c r="L395">
        <v>243302339000</v>
      </c>
      <c r="M395">
        <v>-73000559000</v>
      </c>
      <c r="N395">
        <v>21541634000</v>
      </c>
      <c r="O395">
        <v>-53221960000</v>
      </c>
      <c r="P395">
        <v>630683761000</v>
      </c>
      <c r="Q395">
        <v>160199112000</v>
      </c>
      <c r="R395">
        <v>582958840000</v>
      </c>
      <c r="S395">
        <v>-92163945000</v>
      </c>
      <c r="T395">
        <v>-5.9898999999999996</v>
      </c>
      <c r="U395">
        <f t="shared" si="42"/>
        <v>-2.9998791896778148</v>
      </c>
      <c r="V395">
        <f t="shared" si="43"/>
        <v>11.460899442104829</v>
      </c>
      <c r="W395">
        <f t="shared" si="44"/>
        <v>-4.1029730421827137</v>
      </c>
      <c r="X395">
        <f t="shared" si="45"/>
        <v>1</v>
      </c>
      <c r="Y395">
        <f t="shared" si="46"/>
        <v>1</v>
      </c>
      <c r="Z395">
        <f t="shared" si="47"/>
        <v>1</v>
      </c>
      <c r="AA395">
        <f t="shared" si="48"/>
        <v>1</v>
      </c>
    </row>
    <row r="396" spans="1:27" x14ac:dyDescent="0.35">
      <c r="A396">
        <v>112.827096512558</v>
      </c>
      <c r="B396" s="1" t="s">
        <v>3</v>
      </c>
      <c r="C396">
        <v>-0.14996165881635101</v>
      </c>
      <c r="D396">
        <v>0</v>
      </c>
      <c r="E396">
        <v>0</v>
      </c>
      <c r="F396">
        <v>-1344.7754</v>
      </c>
      <c r="G396">
        <v>7.1983499999999996</v>
      </c>
      <c r="H396">
        <v>4.3446787317715001E-2</v>
      </c>
      <c r="I396">
        <v>0.77220999999999995</v>
      </c>
      <c r="J396">
        <v>-64553984000</v>
      </c>
      <c r="K396" s="1">
        <v>70302676000</v>
      </c>
      <c r="L396">
        <v>91040495000</v>
      </c>
      <c r="M396">
        <v>180179087000</v>
      </c>
      <c r="N396">
        <v>7263061000</v>
      </c>
      <c r="O396">
        <v>188614656000</v>
      </c>
      <c r="P396">
        <v>0</v>
      </c>
      <c r="Q396">
        <v>81644827000</v>
      </c>
      <c r="R396">
        <v>11342151000</v>
      </c>
      <c r="S396">
        <v>-25069303000</v>
      </c>
      <c r="T396">
        <v>-13.93601</v>
      </c>
      <c r="U396">
        <f t="shared" si="42"/>
        <v>10.466547333967172</v>
      </c>
      <c r="V396">
        <f t="shared" si="43"/>
        <v>-13.594156241860077</v>
      </c>
      <c r="W396">
        <f t="shared" si="44"/>
        <v>0.42696001047665666</v>
      </c>
      <c r="X396">
        <f t="shared" si="45"/>
        <v>0</v>
      </c>
      <c r="Y396">
        <f t="shared" si="46"/>
        <v>0</v>
      </c>
      <c r="Z396">
        <f t="shared" si="47"/>
        <v>0</v>
      </c>
      <c r="AA396">
        <f t="shared" si="48"/>
        <v>0</v>
      </c>
    </row>
    <row r="397" spans="1:27" x14ac:dyDescent="0.35">
      <c r="A397">
        <v>-18.160630696552602</v>
      </c>
      <c r="B397" s="1">
        <v>-21.314805707229802</v>
      </c>
      <c r="C397">
        <v>-0.17689402812746199</v>
      </c>
      <c r="D397" s="1" t="s">
        <v>3</v>
      </c>
      <c r="E397" s="1" t="s">
        <v>3</v>
      </c>
      <c r="F397" s="1">
        <v>-611.67952000000002</v>
      </c>
      <c r="G397" s="1">
        <v>7.6843000000000004</v>
      </c>
      <c r="H397" s="1">
        <v>3.5928436232988997E-2</v>
      </c>
      <c r="I397" s="1">
        <v>0.80418999999999996</v>
      </c>
      <c r="J397" s="1">
        <v>-6696999000</v>
      </c>
      <c r="K397" s="1">
        <v>58779551000</v>
      </c>
      <c r="L397">
        <v>73091558000</v>
      </c>
      <c r="M397">
        <v>-15022098000</v>
      </c>
      <c r="N397">
        <v>2948504000</v>
      </c>
      <c r="O397">
        <v>-14903708000</v>
      </c>
      <c r="P397" s="1" t="s">
        <v>3</v>
      </c>
      <c r="Q397">
        <v>67573227000</v>
      </c>
      <c r="R397">
        <v>8793676000</v>
      </c>
      <c r="S397">
        <v>-14516990000</v>
      </c>
      <c r="T397">
        <v>-17.558399999999999</v>
      </c>
      <c r="U397">
        <f t="shared" si="42"/>
        <v>-0.89275950116903913</v>
      </c>
      <c r="V397" t="e">
        <f t="shared" si="43"/>
        <v>#VALUE!</v>
      </c>
      <c r="W397">
        <f t="shared" si="44"/>
        <v>0.70457089816035934</v>
      </c>
      <c r="X397">
        <f t="shared" si="45"/>
        <v>1</v>
      </c>
      <c r="Y397" t="e">
        <f t="shared" si="46"/>
        <v>#VALUE!</v>
      </c>
      <c r="Z397">
        <f t="shared" si="47"/>
        <v>0</v>
      </c>
      <c r="AA397" t="e">
        <f t="shared" si="48"/>
        <v>#VALUE!</v>
      </c>
    </row>
    <row r="398" spans="1:27" x14ac:dyDescent="0.35">
      <c r="A398">
        <v>-5.7065396296438298</v>
      </c>
      <c r="B398" s="1">
        <v>-6.69244097943292</v>
      </c>
      <c r="C398">
        <v>-6.1389168220527E-2</v>
      </c>
      <c r="D398" s="1" t="s">
        <v>3</v>
      </c>
      <c r="E398" s="1" t="s">
        <v>3</v>
      </c>
      <c r="F398" s="1">
        <v>-388.23295999999999</v>
      </c>
      <c r="G398" s="1">
        <v>7.5680800000000001</v>
      </c>
      <c r="H398" s="1">
        <v>6.8355343852236003E-2</v>
      </c>
      <c r="I398" s="1">
        <v>0.81432000000000004</v>
      </c>
      <c r="J398" s="1">
        <v>-2715789000</v>
      </c>
      <c r="K398" s="1">
        <v>56053104000</v>
      </c>
      <c r="L398">
        <v>68834522000</v>
      </c>
      <c r="M398">
        <v>-4103644000</v>
      </c>
      <c r="N398">
        <v>4850703000</v>
      </c>
      <c r="O398">
        <v>-4049534000</v>
      </c>
      <c r="P398" s="1" t="s">
        <v>3</v>
      </c>
      <c r="Q398">
        <v>64587275000</v>
      </c>
      <c r="R398">
        <v>8534171000</v>
      </c>
      <c r="S398">
        <v>-4356362000</v>
      </c>
      <c r="T398">
        <v>-18.704339999999998</v>
      </c>
      <c r="U398">
        <f t="shared" si="42"/>
        <v>0.35528130480249165</v>
      </c>
      <c r="V398" t="e">
        <f t="shared" si="43"/>
        <v>#VALUE!</v>
      </c>
      <c r="W398">
        <f t="shared" si="44"/>
        <v>1.1842508409079966</v>
      </c>
      <c r="X398">
        <f t="shared" si="45"/>
        <v>1</v>
      </c>
      <c r="Y398" t="e">
        <f t="shared" si="46"/>
        <v>#VALUE!</v>
      </c>
      <c r="Z398">
        <f t="shared" si="47"/>
        <v>0</v>
      </c>
      <c r="AA398" t="e">
        <f t="shared" si="48"/>
        <v>#VALUE!</v>
      </c>
    </row>
    <row r="399" spans="1:27" x14ac:dyDescent="0.35">
      <c r="A399">
        <v>-2.7905748847947298</v>
      </c>
      <c r="B399" s="1">
        <v>-3.0916778064069899</v>
      </c>
      <c r="C399">
        <v>-6.1515328745574999E-2</v>
      </c>
      <c r="D399">
        <v>0</v>
      </c>
      <c r="E399">
        <v>0</v>
      </c>
      <c r="F399">
        <v>-677.15992000000006</v>
      </c>
      <c r="G399">
        <v>60.858110000000003</v>
      </c>
      <c r="H399">
        <v>6.1036942511613998E-2</v>
      </c>
      <c r="I399">
        <v>0.92459999999999998</v>
      </c>
      <c r="J399">
        <v>-8235994000</v>
      </c>
      <c r="K399" s="1">
        <v>54481411000</v>
      </c>
      <c r="L399">
        <v>58924171000</v>
      </c>
      <c r="M399">
        <v>-1782601000</v>
      </c>
      <c r="N399">
        <v>3899000000</v>
      </c>
      <c r="O399">
        <v>-1782601000</v>
      </c>
      <c r="P399">
        <v>0</v>
      </c>
      <c r="Q399">
        <v>55391587000</v>
      </c>
      <c r="R399">
        <v>910176000</v>
      </c>
      <c r="S399">
        <v>-3929559000</v>
      </c>
      <c r="T399">
        <v>-21.884440000000001</v>
      </c>
      <c r="U399">
        <f t="shared" si="42"/>
        <v>-0.51855079560670658</v>
      </c>
      <c r="V399">
        <f t="shared" si="43"/>
        <v>-3.9204315177773585</v>
      </c>
      <c r="W399">
        <f t="shared" si="44"/>
        <v>1.3551020589665996</v>
      </c>
      <c r="X399">
        <f t="shared" si="45"/>
        <v>1</v>
      </c>
      <c r="Y399">
        <f t="shared" si="46"/>
        <v>0</v>
      </c>
      <c r="Z399">
        <f t="shared" si="47"/>
        <v>0</v>
      </c>
      <c r="AA399">
        <f t="shared" si="48"/>
        <v>0</v>
      </c>
    </row>
    <row r="400" spans="1:27" x14ac:dyDescent="0.35">
      <c r="A400" s="1" t="s">
        <v>3</v>
      </c>
      <c r="B400" s="1" t="s">
        <v>3</v>
      </c>
      <c r="C400" s="1" t="s">
        <v>3</v>
      </c>
      <c r="D400" s="1" t="s">
        <v>3</v>
      </c>
      <c r="E400" s="1" t="s">
        <v>3</v>
      </c>
      <c r="F400" s="1" t="s">
        <v>3</v>
      </c>
      <c r="G400" s="1" t="s">
        <v>3</v>
      </c>
      <c r="H400" s="1" t="s">
        <v>3</v>
      </c>
      <c r="I400" s="1" t="s">
        <v>3</v>
      </c>
      <c r="J400" s="1" t="s">
        <v>3</v>
      </c>
      <c r="K400" s="1" t="s">
        <v>3</v>
      </c>
      <c r="L400" s="1" t="s">
        <v>3</v>
      </c>
      <c r="M400" s="1" t="s">
        <v>3</v>
      </c>
      <c r="N400" s="1" t="s">
        <v>3</v>
      </c>
      <c r="O400" s="1" t="s">
        <v>3</v>
      </c>
      <c r="P400" s="1" t="s">
        <v>3</v>
      </c>
      <c r="Q400" s="1" t="s">
        <v>3</v>
      </c>
      <c r="R400" s="1" t="s">
        <v>3</v>
      </c>
      <c r="S400" s="1" t="s">
        <v>3</v>
      </c>
      <c r="T400" s="1" t="s">
        <v>3</v>
      </c>
      <c r="U400" t="e">
        <f t="shared" si="42"/>
        <v>#VALUE!</v>
      </c>
      <c r="V400" t="e">
        <f t="shared" si="43"/>
        <v>#VALUE!</v>
      </c>
      <c r="W400" t="e">
        <f t="shared" si="44"/>
        <v>#VALUE!</v>
      </c>
      <c r="X400" t="e">
        <f t="shared" si="45"/>
        <v>#VALUE!</v>
      </c>
      <c r="Y400" t="e">
        <f t="shared" si="46"/>
        <v>#VALUE!</v>
      </c>
      <c r="Z400" t="e">
        <f t="shared" si="47"/>
        <v>#VALUE!</v>
      </c>
      <c r="AA400" t="e">
        <f t="shared" si="48"/>
        <v>#VALUE!</v>
      </c>
    </row>
    <row r="401" spans="1:27" x14ac:dyDescent="0.35">
      <c r="A401" s="1">
        <v>23.308069947093902</v>
      </c>
      <c r="B401" s="1">
        <v>45.4981690143835</v>
      </c>
      <c r="C401" s="1">
        <v>0.302010667056406</v>
      </c>
      <c r="D401" s="1">
        <v>86.84563</v>
      </c>
      <c r="E401" s="1">
        <v>43.206249999999997</v>
      </c>
      <c r="F401" s="1">
        <v>8.5971100000000007</v>
      </c>
      <c r="G401" s="1">
        <v>0.64644999999999997</v>
      </c>
      <c r="H401" s="1">
        <v>1.1525730156921901</v>
      </c>
      <c r="I401" s="1">
        <v>-7.4069999999999997E-2</v>
      </c>
      <c r="J401" s="1">
        <v>175739706000</v>
      </c>
      <c r="K401" s="1">
        <v>-49625010000</v>
      </c>
      <c r="L401">
        <v>669965627000</v>
      </c>
      <c r="M401">
        <v>135282215000</v>
      </c>
      <c r="N401">
        <v>625778468000</v>
      </c>
      <c r="O401">
        <v>126548931000</v>
      </c>
      <c r="P401">
        <v>289467030000</v>
      </c>
      <c r="Q401">
        <v>90735739000</v>
      </c>
      <c r="R401">
        <v>140360749000</v>
      </c>
      <c r="S401">
        <v>163973796000</v>
      </c>
      <c r="T401">
        <v>0.29985000000000001</v>
      </c>
      <c r="U401">
        <f t="shared" si="42"/>
        <v>1.6848261836647387</v>
      </c>
      <c r="V401">
        <f t="shared" si="43"/>
        <v>-2.6846570240559986</v>
      </c>
      <c r="W401">
        <f t="shared" si="44"/>
        <v>0.77093262385982086</v>
      </c>
      <c r="X401">
        <f t="shared" si="45"/>
        <v>0</v>
      </c>
      <c r="Y401">
        <f t="shared" si="46"/>
        <v>0</v>
      </c>
      <c r="Z401">
        <f t="shared" si="47"/>
        <v>0</v>
      </c>
      <c r="AA401">
        <f t="shared" si="48"/>
        <v>0</v>
      </c>
    </row>
    <row r="402" spans="1:27" x14ac:dyDescent="0.35">
      <c r="A402" s="1">
        <v>3.3884227169331398</v>
      </c>
      <c r="B402" s="1">
        <v>7.7926901356782299</v>
      </c>
      <c r="C402" s="1">
        <v>5.7282278473613002E-2</v>
      </c>
      <c r="D402" s="1">
        <v>134.10140999999999</v>
      </c>
      <c r="E402" s="1">
        <v>51.840150000000001</v>
      </c>
      <c r="F402" s="1">
        <v>1.72414</v>
      </c>
      <c r="G402" s="1">
        <v>0.39684999999999998</v>
      </c>
      <c r="H402" s="1">
        <v>1.0116855713108599</v>
      </c>
      <c r="I402" s="1">
        <v>-0.14835000000000001</v>
      </c>
      <c r="J402" s="1">
        <v>152632461000</v>
      </c>
      <c r="K402" s="1">
        <v>-122707565000</v>
      </c>
      <c r="L402">
        <v>827171957000</v>
      </c>
      <c r="M402">
        <v>31357109000</v>
      </c>
      <c r="N402">
        <v>757316246000</v>
      </c>
      <c r="O402">
        <v>25364675000</v>
      </c>
      <c r="P402">
        <v>428807224000</v>
      </c>
      <c r="Q402">
        <v>80736857000</v>
      </c>
      <c r="R402">
        <v>203444422000</v>
      </c>
      <c r="S402">
        <v>42879726000</v>
      </c>
      <c r="T402">
        <v>3.746E-2</v>
      </c>
      <c r="U402">
        <f t="shared" si="42"/>
        <v>0.47429531672257524</v>
      </c>
      <c r="V402">
        <f t="shared" si="43"/>
        <v>-1.4815132617481643</v>
      </c>
      <c r="W402">
        <f t="shared" si="44"/>
        <v>-1.0820311933036193E-2</v>
      </c>
      <c r="X402">
        <f t="shared" si="45"/>
        <v>1</v>
      </c>
      <c r="Y402">
        <f t="shared" si="46"/>
        <v>0</v>
      </c>
      <c r="Z402">
        <f t="shared" si="47"/>
        <v>1</v>
      </c>
      <c r="AA402">
        <f t="shared" si="48"/>
        <v>1</v>
      </c>
    </row>
    <row r="403" spans="1:27" x14ac:dyDescent="0.35">
      <c r="A403" s="1">
        <v>3.0800526113099602</v>
      </c>
      <c r="B403" s="1">
        <v>8.4276101267889398</v>
      </c>
      <c r="C403" s="1">
        <v>9.8298501433661006E-2</v>
      </c>
      <c r="D403" s="1">
        <v>165.26177999999999</v>
      </c>
      <c r="E403" s="1">
        <v>57.545639999999999</v>
      </c>
      <c r="F403" s="1">
        <v>2.5090400000000002</v>
      </c>
      <c r="G403" s="1">
        <v>0.54664000000000001</v>
      </c>
      <c r="H403" s="1">
        <v>0.91616577016450795</v>
      </c>
      <c r="I403" s="1">
        <v>-0.12551999999999999</v>
      </c>
      <c r="J403" s="1">
        <v>95426345000</v>
      </c>
      <c r="K403" s="1">
        <v>-125064837000</v>
      </c>
      <c r="L403">
        <v>996389556000</v>
      </c>
      <c r="M403">
        <v>32695080000</v>
      </c>
      <c r="N403">
        <v>835342319000</v>
      </c>
      <c r="O403">
        <v>28083327000</v>
      </c>
      <c r="P403">
        <v>573378738000</v>
      </c>
      <c r="Q403">
        <v>150795642000</v>
      </c>
      <c r="R403">
        <v>275860479000</v>
      </c>
      <c r="S403">
        <v>89626682000</v>
      </c>
      <c r="T403">
        <v>5.9279999999999999E-2</v>
      </c>
      <c r="U403">
        <f t="shared" si="42"/>
        <v>0.56043849948575042</v>
      </c>
      <c r="V403">
        <f t="shared" si="43"/>
        <v>-1.1445449160275547</v>
      </c>
      <c r="W403">
        <f t="shared" si="44"/>
        <v>0.15654096478907698</v>
      </c>
      <c r="X403">
        <f t="shared" si="45"/>
        <v>1</v>
      </c>
      <c r="Y403">
        <f t="shared" si="46"/>
        <v>0</v>
      </c>
      <c r="Z403">
        <f t="shared" si="47"/>
        <v>0</v>
      </c>
      <c r="AA403">
        <f t="shared" si="48"/>
        <v>0</v>
      </c>
    </row>
    <row r="404" spans="1:27" x14ac:dyDescent="0.35">
      <c r="A404" s="1">
        <v>13.5647053334948</v>
      </c>
      <c r="B404" s="1">
        <v>36.893997875985598</v>
      </c>
      <c r="C404" s="1">
        <v>0.202259926085923</v>
      </c>
      <c r="D404" s="1">
        <v>139.14122</v>
      </c>
      <c r="E404" s="1">
        <v>53.259740000000001</v>
      </c>
      <c r="F404" s="1">
        <v>4.8832800000000001</v>
      </c>
      <c r="G404" s="1">
        <v>0.53500000000000003</v>
      </c>
      <c r="H404" s="1">
        <v>1.02393813575096</v>
      </c>
      <c r="I404" s="1">
        <v>-0.13489999999999999</v>
      </c>
      <c r="J404" s="1">
        <v>295673014000</v>
      </c>
      <c r="K404" s="1">
        <v>-174294717000</v>
      </c>
      <c r="L404">
        <v>1292019181000</v>
      </c>
      <c r="M404">
        <v>165437645000</v>
      </c>
      <c r="N404">
        <v>1171594488000</v>
      </c>
      <c r="O404">
        <v>155207951000</v>
      </c>
      <c r="P404">
        <v>688126090000</v>
      </c>
      <c r="Q404">
        <v>200532513000</v>
      </c>
      <c r="R404">
        <v>374827230000</v>
      </c>
      <c r="S404">
        <v>231426691000</v>
      </c>
      <c r="T404">
        <v>0.16583000000000001</v>
      </c>
      <c r="U404">
        <f t="shared" si="42"/>
        <v>1.0649726835147064</v>
      </c>
      <c r="V404">
        <f t="shared" si="43"/>
        <v>-1.8026316162806899</v>
      </c>
      <c r="W404">
        <f t="shared" si="44"/>
        <v>0.44606040074493297</v>
      </c>
      <c r="X404">
        <f t="shared" si="45"/>
        <v>0</v>
      </c>
      <c r="Y404">
        <f t="shared" si="46"/>
        <v>0</v>
      </c>
      <c r="Z404">
        <f t="shared" si="47"/>
        <v>0</v>
      </c>
      <c r="AA404">
        <f t="shared" si="48"/>
        <v>0</v>
      </c>
    </row>
    <row r="405" spans="1:27" x14ac:dyDescent="0.35">
      <c r="A405" s="1">
        <v>-12.3390268307152</v>
      </c>
      <c r="B405" s="1">
        <v>-43.469434580429898</v>
      </c>
      <c r="C405" s="1">
        <v>-2.5336913138501001E-2</v>
      </c>
      <c r="D405" s="1">
        <v>293.79289</v>
      </c>
      <c r="E405" s="1">
        <v>60.074309999999997</v>
      </c>
      <c r="F405" s="1">
        <v>-0.40762999999999999</v>
      </c>
      <c r="G405" s="1">
        <v>0.41122999999999998</v>
      </c>
      <c r="H405" s="1">
        <v>0.68135622843395105</v>
      </c>
      <c r="I405" s="1">
        <v>-0.21016000000000001</v>
      </c>
      <c r="J405" s="1">
        <v>144682582403</v>
      </c>
      <c r="K405" s="1">
        <v>-338147351396</v>
      </c>
      <c r="L405">
        <v>1608975918135</v>
      </c>
      <c r="M405">
        <v>-170878578629</v>
      </c>
      <c r="N405">
        <v>988305539726</v>
      </c>
      <c r="O405">
        <v>-178977281820</v>
      </c>
      <c r="P405">
        <v>966581198784</v>
      </c>
      <c r="Q405">
        <v>236179823304</v>
      </c>
      <c r="R405">
        <v>574327174700</v>
      </c>
      <c r="S405">
        <v>-36751130421</v>
      </c>
      <c r="T405">
        <v>2.1950000000000001E-2</v>
      </c>
      <c r="U405">
        <f t="shared" si="42"/>
        <v>-0.23726146483209576</v>
      </c>
      <c r="V405">
        <f t="shared" si="43"/>
        <v>-0.37355389324405258</v>
      </c>
      <c r="W405">
        <f t="shared" si="44"/>
        <v>-0.36930073361238053</v>
      </c>
      <c r="X405">
        <f t="shared" si="45"/>
        <v>1</v>
      </c>
      <c r="Y405">
        <f t="shared" si="46"/>
        <v>0</v>
      </c>
      <c r="Z405">
        <f t="shared" si="47"/>
        <v>1</v>
      </c>
      <c r="AA405">
        <f t="shared" si="48"/>
        <v>1</v>
      </c>
    </row>
    <row r="406" spans="1:27" x14ac:dyDescent="0.35">
      <c r="A406" s="1">
        <v>-7.9051953112350803</v>
      </c>
      <c r="B406" s="1">
        <v>-41.757977894098403</v>
      </c>
      <c r="C406" s="1">
        <v>-2.6046688714693001E-2</v>
      </c>
      <c r="D406" s="1">
        <v>362.40652999999998</v>
      </c>
      <c r="E406" s="1">
        <v>61.73104</v>
      </c>
      <c r="F406" s="1">
        <v>-0.39479999999999998</v>
      </c>
      <c r="G406" s="1">
        <v>0.41194999999999998</v>
      </c>
      <c r="H406" s="1">
        <v>0.668100447992791</v>
      </c>
      <c r="I406" s="1">
        <v>-0.19528999999999999</v>
      </c>
      <c r="J406" s="1">
        <v>-17780714939</v>
      </c>
      <c r="K406" s="1">
        <v>-251471581138</v>
      </c>
      <c r="L406">
        <v>1287714020323</v>
      </c>
      <c r="M406">
        <v>-94706070189</v>
      </c>
      <c r="N406">
        <v>967639922790</v>
      </c>
      <c r="O406">
        <v>-114494498598</v>
      </c>
      <c r="P406">
        <v>794919232007</v>
      </c>
      <c r="Q406">
        <v>176163869222</v>
      </c>
      <c r="R406">
        <v>427635450360</v>
      </c>
      <c r="S406">
        <v>-37724590565</v>
      </c>
      <c r="T406">
        <v>-6.1460000000000001E-2</v>
      </c>
      <c r="U406">
        <f t="shared" si="42"/>
        <v>-0.13667242043092359</v>
      </c>
      <c r="V406">
        <f t="shared" si="43"/>
        <v>-0.37957459891000694</v>
      </c>
      <c r="W406">
        <f t="shared" si="44"/>
        <v>-0.36636615004143597</v>
      </c>
      <c r="X406">
        <f t="shared" si="45"/>
        <v>1</v>
      </c>
      <c r="Y406">
        <f t="shared" si="46"/>
        <v>0</v>
      </c>
      <c r="Z406">
        <f t="shared" si="47"/>
        <v>1</v>
      </c>
      <c r="AA406">
        <f t="shared" si="48"/>
        <v>1</v>
      </c>
    </row>
    <row r="407" spans="1:27" x14ac:dyDescent="0.35">
      <c r="A407" s="1">
        <v>2.3271682032121399</v>
      </c>
      <c r="B407" s="1">
        <v>11.506032488977899</v>
      </c>
      <c r="C407" s="1">
        <v>0.132317729472816</v>
      </c>
      <c r="D407" s="1">
        <v>250.20464000000001</v>
      </c>
      <c r="E407" s="1">
        <v>60.84393</v>
      </c>
      <c r="F407" s="1">
        <v>1.99308</v>
      </c>
      <c r="G407" s="1">
        <v>0.55449999999999999</v>
      </c>
      <c r="H407" s="1">
        <v>0.83800809131634302</v>
      </c>
      <c r="I407" s="1">
        <v>-0.14877000000000001</v>
      </c>
      <c r="J407" s="1">
        <v>146068176755</v>
      </c>
      <c r="K407" s="1">
        <v>-148741886115</v>
      </c>
      <c r="L407">
        <v>999799019539</v>
      </c>
      <c r="M407">
        <v>39122847317</v>
      </c>
      <c r="N407">
        <v>958477218198</v>
      </c>
      <c r="O407">
        <v>26617138054</v>
      </c>
      <c r="P407">
        <v>608316971528</v>
      </c>
      <c r="Q407">
        <v>185133237127</v>
      </c>
      <c r="R407">
        <v>333875123242</v>
      </c>
      <c r="S407">
        <v>151339265787</v>
      </c>
      <c r="T407">
        <v>-5.2560000000000003E-2</v>
      </c>
      <c r="U407">
        <f t="shared" si="42"/>
        <v>0.77227549509692095</v>
      </c>
      <c r="V407">
        <f t="shared" si="43"/>
        <v>-0.94947944635577863</v>
      </c>
      <c r="W407">
        <f t="shared" si="44"/>
        <v>0.32721493077941916</v>
      </c>
      <c r="X407">
        <f t="shared" si="45"/>
        <v>1</v>
      </c>
      <c r="Y407">
        <f t="shared" si="46"/>
        <v>0</v>
      </c>
      <c r="Z407">
        <f t="shared" si="47"/>
        <v>0</v>
      </c>
      <c r="AA407">
        <f t="shared" si="48"/>
        <v>0</v>
      </c>
    </row>
    <row r="408" spans="1:27" x14ac:dyDescent="0.35">
      <c r="A408" s="1">
        <v>9.4714601291635407</v>
      </c>
      <c r="B408" s="1">
        <v>40.470641171663203</v>
      </c>
      <c r="C408" s="1">
        <v>9.8015217291736997E-2</v>
      </c>
      <c r="D408" s="1">
        <v>249.20307</v>
      </c>
      <c r="E408" s="1">
        <v>56.685839999999999</v>
      </c>
      <c r="F408" s="1">
        <v>2.0569899999999999</v>
      </c>
      <c r="G408" s="1">
        <v>0.50812999999999997</v>
      </c>
      <c r="H408" s="1">
        <v>0.85745334185870803</v>
      </c>
      <c r="I408" s="1">
        <v>-0.14058000000000001</v>
      </c>
      <c r="J408" s="1">
        <v>178426637444</v>
      </c>
      <c r="K408" s="1">
        <v>-215628885127</v>
      </c>
      <c r="L408">
        <v>1533856918547</v>
      </c>
      <c r="M408">
        <v>140699565076</v>
      </c>
      <c r="N408">
        <v>1086245875616</v>
      </c>
      <c r="O408">
        <v>119987105993</v>
      </c>
      <c r="P408">
        <v>869479687237</v>
      </c>
      <c r="Q408">
        <v>222755282668</v>
      </c>
      <c r="R408">
        <v>438384167795</v>
      </c>
      <c r="S408">
        <v>124168418657</v>
      </c>
      <c r="T408">
        <v>4.3790000000000003E-2</v>
      </c>
      <c r="U408">
        <f t="shared" si="42"/>
        <v>0.59882400146606196</v>
      </c>
      <c r="V408">
        <f t="shared" si="43"/>
        <v>-1.4188904456398752</v>
      </c>
      <c r="W408">
        <f t="shared" si="44"/>
        <v>0.10185518141414425</v>
      </c>
      <c r="X408">
        <f t="shared" si="45"/>
        <v>1</v>
      </c>
      <c r="Y408">
        <f t="shared" si="46"/>
        <v>0</v>
      </c>
      <c r="Z408">
        <f t="shared" si="47"/>
        <v>0</v>
      </c>
      <c r="AA408">
        <f t="shared" si="48"/>
        <v>0</v>
      </c>
    </row>
    <row r="409" spans="1:27" x14ac:dyDescent="0.35">
      <c r="A409" s="1">
        <v>4.4201822050604003</v>
      </c>
      <c r="B409" s="1">
        <v>20.595977723783001</v>
      </c>
      <c r="C409" s="1">
        <v>8.4667856401137997E-2</v>
      </c>
      <c r="D409" s="1">
        <v>287.61255</v>
      </c>
      <c r="E409" s="1">
        <v>57.89293</v>
      </c>
      <c r="F409" s="1">
        <v>1.79925</v>
      </c>
      <c r="G409" s="1">
        <v>0.51839999999999997</v>
      </c>
      <c r="H409" s="1">
        <v>0.86355474553984801</v>
      </c>
      <c r="I409" s="1">
        <v>-0.16356000000000001</v>
      </c>
      <c r="J409" s="1">
        <v>105362339199</v>
      </c>
      <c r="K409" s="1">
        <v>-273225851616</v>
      </c>
      <c r="L409">
        <v>1670514551431</v>
      </c>
      <c r="M409">
        <v>91921990122</v>
      </c>
      <c r="N409">
        <v>1383575094686</v>
      </c>
      <c r="O409">
        <v>70819528750</v>
      </c>
      <c r="P409">
        <v>967109901320</v>
      </c>
      <c r="Q409">
        <v>294108712017</v>
      </c>
      <c r="R409">
        <v>567334563633</v>
      </c>
      <c r="S409">
        <v>135653631738</v>
      </c>
      <c r="T409">
        <v>7.5200000000000003E-2</v>
      </c>
      <c r="U409">
        <f t="shared" si="42"/>
        <v>0.51906298922192373</v>
      </c>
      <c r="V409">
        <f t="shared" si="43"/>
        <v>-1.1888013805014965</v>
      </c>
      <c r="W409">
        <f t="shared" si="44"/>
        <v>6.4228563031317451E-2</v>
      </c>
      <c r="X409">
        <f t="shared" si="45"/>
        <v>1</v>
      </c>
      <c r="Y409">
        <f t="shared" si="46"/>
        <v>0</v>
      </c>
      <c r="Z409">
        <f t="shared" si="47"/>
        <v>0</v>
      </c>
      <c r="AA409">
        <f t="shared" si="48"/>
        <v>0</v>
      </c>
    </row>
    <row r="410" spans="1:27" x14ac:dyDescent="0.35">
      <c r="A410" s="1">
        <v>12.351168402176601</v>
      </c>
      <c r="B410" s="1">
        <v>46.780370761708703</v>
      </c>
      <c r="C410" s="1">
        <v>0.19689872426892699</v>
      </c>
      <c r="D410" s="1">
        <v>148.30330000000001</v>
      </c>
      <c r="E410" s="1">
        <v>48.669159999999998</v>
      </c>
      <c r="F410" s="1">
        <v>4.2569400000000002</v>
      </c>
      <c r="G410" s="1">
        <v>0.49490000000000001</v>
      </c>
      <c r="H410" s="1">
        <v>0.92324442874961898</v>
      </c>
      <c r="I410" s="1">
        <v>-0.19114</v>
      </c>
      <c r="J410" s="1">
        <v>280199055942</v>
      </c>
      <c r="K410" s="1">
        <v>-310952277972</v>
      </c>
      <c r="L410">
        <v>1626838491300</v>
      </c>
      <c r="M410">
        <v>236727153598</v>
      </c>
      <c r="N410">
        <v>1522131413161</v>
      </c>
      <c r="O410">
        <v>203630813561</v>
      </c>
      <c r="P410">
        <v>791768634616</v>
      </c>
      <c r="Q410">
        <v>304669276694</v>
      </c>
      <c r="R410">
        <v>615621554666</v>
      </c>
      <c r="S410">
        <v>324622303789</v>
      </c>
      <c r="T410">
        <v>0.20169000000000001</v>
      </c>
      <c r="U410">
        <f t="shared" si="42"/>
        <v>1.0437674348985564</v>
      </c>
      <c r="V410">
        <f t="shared" si="43"/>
        <v>-2.087141719559352</v>
      </c>
      <c r="W410">
        <f t="shared" si="44"/>
        <v>0.4228637041377778</v>
      </c>
      <c r="X410">
        <f t="shared" si="45"/>
        <v>0</v>
      </c>
      <c r="Y410">
        <f t="shared" si="46"/>
        <v>0</v>
      </c>
      <c r="Z410">
        <f t="shared" si="47"/>
        <v>0</v>
      </c>
      <c r="AA410">
        <f t="shared" si="48"/>
        <v>0</v>
      </c>
    </row>
    <row r="411" spans="1:27" x14ac:dyDescent="0.35">
      <c r="A411" s="1">
        <v>18.608594806814398</v>
      </c>
      <c r="B411" s="1">
        <v>47.094509954645702</v>
      </c>
      <c r="C411" s="1">
        <v>0.23172852184123</v>
      </c>
      <c r="D411" s="1">
        <v>94.781220000000005</v>
      </c>
      <c r="E411" s="1">
        <v>43.329059999999998</v>
      </c>
      <c r="F411" s="1">
        <v>7.43262</v>
      </c>
      <c r="G411" s="1">
        <v>0.58509999999999995</v>
      </c>
      <c r="H411" s="1">
        <v>0.95125385934165996</v>
      </c>
      <c r="I411" s="1">
        <v>-0.10789</v>
      </c>
      <c r="J411" s="1">
        <v>426429247543</v>
      </c>
      <c r="K411" s="1">
        <v>-192273721566</v>
      </c>
      <c r="L411">
        <v>1782060875189</v>
      </c>
      <c r="M411">
        <v>317640620854</v>
      </c>
      <c r="N411">
        <v>1621364339240</v>
      </c>
      <c r="O411">
        <v>317174135241</v>
      </c>
      <c r="P411">
        <v>772150164680</v>
      </c>
      <c r="Q411">
        <v>271152262325</v>
      </c>
      <c r="R411">
        <v>463425983891</v>
      </c>
      <c r="S411">
        <v>394969605651</v>
      </c>
      <c r="T411">
        <v>0.35058</v>
      </c>
      <c r="U411">
        <f t="shared" si="42"/>
        <v>1.3855992023478412</v>
      </c>
      <c r="V411">
        <f t="shared" si="43"/>
        <v>-2.628820786500202</v>
      </c>
      <c r="W411">
        <f t="shared" si="44"/>
        <v>0.63627296288712765</v>
      </c>
      <c r="X411">
        <f t="shared" si="45"/>
        <v>0</v>
      </c>
      <c r="Y411">
        <f t="shared" si="46"/>
        <v>0</v>
      </c>
      <c r="Z411">
        <f t="shared" si="47"/>
        <v>0</v>
      </c>
      <c r="AA411">
        <f t="shared" si="48"/>
        <v>0</v>
      </c>
    </row>
    <row r="412" spans="1:27" x14ac:dyDescent="0.35">
      <c r="A412" s="1">
        <v>10.749119065171101</v>
      </c>
      <c r="B412" s="1">
        <v>25.603271668664899</v>
      </c>
      <c r="C412" s="1">
        <v>0.139830158879202</v>
      </c>
      <c r="D412" s="1">
        <v>132.98466999999999</v>
      </c>
      <c r="E412" s="1">
        <v>52.373040000000003</v>
      </c>
      <c r="F412" s="1">
        <v>3.8372899999999999</v>
      </c>
      <c r="G412" s="1">
        <v>0.42276999999999998</v>
      </c>
      <c r="H412" s="1">
        <v>0.77623604515571898</v>
      </c>
      <c r="I412" s="1">
        <v>-0.14902000000000001</v>
      </c>
      <c r="J412" s="1">
        <v>392380798612</v>
      </c>
      <c r="K412" s="1">
        <v>-376361854028</v>
      </c>
      <c r="L412">
        <v>2525662339789</v>
      </c>
      <c r="M412">
        <v>232096636048</v>
      </c>
      <c r="N412">
        <v>1671905016010</v>
      </c>
      <c r="O412">
        <v>231521148688</v>
      </c>
      <c r="P412">
        <v>1322766237138</v>
      </c>
      <c r="Q412">
        <v>275648326608</v>
      </c>
      <c r="R412">
        <v>652010180636</v>
      </c>
      <c r="S412">
        <v>301174810779</v>
      </c>
      <c r="T412">
        <v>0.32011000000000001</v>
      </c>
      <c r="U412">
        <f t="shared" si="42"/>
        <v>0.71232682819422333</v>
      </c>
      <c r="V412">
        <f t="shared" si="43"/>
        <v>-1.7255491931896116</v>
      </c>
      <c r="W412">
        <f t="shared" si="44"/>
        <v>0.21850469866791516</v>
      </c>
      <c r="X412">
        <f t="shared" si="45"/>
        <v>1</v>
      </c>
      <c r="Y412">
        <f t="shared" si="46"/>
        <v>0</v>
      </c>
      <c r="Z412">
        <f t="shared" si="47"/>
        <v>0</v>
      </c>
      <c r="AA412">
        <f t="shared" si="48"/>
        <v>0</v>
      </c>
    </row>
    <row r="413" spans="1:27" x14ac:dyDescent="0.35">
      <c r="A413" s="1">
        <v>1.9602457706301999</v>
      </c>
      <c r="B413" s="1">
        <v>5.2648145436287903</v>
      </c>
      <c r="C413" s="1">
        <v>5.6021035178391E-2</v>
      </c>
      <c r="D413" s="1">
        <v>154.94377</v>
      </c>
      <c r="E413" s="1">
        <v>54.310589999999998</v>
      </c>
      <c r="F413" s="1">
        <v>1.2237199999999999</v>
      </c>
      <c r="G413" s="1">
        <v>0.50651000000000002</v>
      </c>
      <c r="H413" s="1">
        <v>0.73508306854967098</v>
      </c>
      <c r="I413" s="1">
        <v>-0.13846</v>
      </c>
      <c r="J413" s="1">
        <v>129911220397</v>
      </c>
      <c r="K413" s="1">
        <v>-404081342787</v>
      </c>
      <c r="L413">
        <v>2918378214457</v>
      </c>
      <c r="M413">
        <v>19308285740</v>
      </c>
      <c r="N413">
        <v>2000911017962</v>
      </c>
      <c r="O413">
        <v>53358287358</v>
      </c>
      <c r="P413">
        <v>1584988503060</v>
      </c>
      <c r="Q413">
        <v>414746140998</v>
      </c>
      <c r="R413">
        <v>818827483785</v>
      </c>
      <c r="S413">
        <v>152490393701</v>
      </c>
      <c r="T413">
        <v>0.28727999999999998</v>
      </c>
      <c r="U413">
        <f t="shared" si="42"/>
        <v>0.30761093599974593</v>
      </c>
      <c r="V413">
        <f t="shared" si="43"/>
        <v>-1.284546105828732</v>
      </c>
      <c r="W413">
        <f t="shared" si="44"/>
        <v>6.6969987935807801E-3</v>
      </c>
      <c r="X413">
        <f t="shared" si="45"/>
        <v>1</v>
      </c>
      <c r="Y413">
        <f t="shared" si="46"/>
        <v>0</v>
      </c>
      <c r="Z413">
        <f t="shared" si="47"/>
        <v>1</v>
      </c>
      <c r="AA413">
        <f t="shared" si="48"/>
        <v>1</v>
      </c>
    </row>
    <row r="414" spans="1:27" x14ac:dyDescent="0.35">
      <c r="A414" s="1">
        <v>1.20985632175525</v>
      </c>
      <c r="B414" s="1">
        <v>3.29993211862572</v>
      </c>
      <c r="C414" s="1">
        <v>4.6564565583598998E-2</v>
      </c>
      <c r="D414" s="1">
        <v>122.46339999999999</v>
      </c>
      <c r="E414" s="1">
        <v>46.155949999999997</v>
      </c>
      <c r="F414" s="1">
        <v>1.14768</v>
      </c>
      <c r="G414" s="1">
        <v>0.43002000000000001</v>
      </c>
      <c r="H414" s="1">
        <v>0.80614435939698104</v>
      </c>
      <c r="I414" s="1">
        <v>-0.19211</v>
      </c>
      <c r="J414" s="1">
        <v>351598310104</v>
      </c>
      <c r="K414" s="1">
        <v>-545091942574</v>
      </c>
      <c r="L414">
        <v>2837426144607</v>
      </c>
      <c r="M414">
        <v>4047544310</v>
      </c>
      <c r="N414">
        <v>2320004608926</v>
      </c>
      <c r="O414">
        <v>34818481453</v>
      </c>
      <c r="P414">
        <v>1309641012634</v>
      </c>
      <c r="Q414">
        <v>411249064950</v>
      </c>
      <c r="R414">
        <v>956341007524</v>
      </c>
      <c r="S414">
        <v>134008264782</v>
      </c>
      <c r="T414">
        <v>0.30762</v>
      </c>
      <c r="U414">
        <f t="shared" si="42"/>
        <v>0.27697228145091396</v>
      </c>
      <c r="V414">
        <f t="shared" si="43"/>
        <v>-1.7226108903098873</v>
      </c>
      <c r="W414">
        <f t="shared" si="44"/>
        <v>-9.9014801325247426E-2</v>
      </c>
      <c r="X414">
        <f t="shared" si="45"/>
        <v>1</v>
      </c>
      <c r="Y414">
        <f t="shared" si="46"/>
        <v>0</v>
      </c>
      <c r="Z414">
        <f t="shared" si="47"/>
        <v>1</v>
      </c>
      <c r="AA414">
        <f t="shared" si="48"/>
        <v>1</v>
      </c>
    </row>
    <row r="415" spans="1:27" x14ac:dyDescent="0.35">
      <c r="A415" s="1">
        <v>3.2969190891246898</v>
      </c>
      <c r="B415" s="1">
        <v>8.31803965059561</v>
      </c>
      <c r="C415" s="1">
        <v>7.9155549041743004E-2</v>
      </c>
      <c r="D415" s="1">
        <v>143.83214000000001</v>
      </c>
      <c r="E415" s="1">
        <v>52.102919999999997</v>
      </c>
      <c r="F415" s="1">
        <v>2.1239599999999998</v>
      </c>
      <c r="G415" s="1">
        <v>0.52842</v>
      </c>
      <c r="H415" s="1">
        <v>0.82321200845959397</v>
      </c>
      <c r="I415" s="1">
        <v>-0.14179</v>
      </c>
      <c r="J415" s="1">
        <v>284895000000</v>
      </c>
      <c r="K415" s="1">
        <v>-463114000000</v>
      </c>
      <c r="L415">
        <v>3266151000000</v>
      </c>
      <c r="M415">
        <v>168421000000</v>
      </c>
      <c r="N415">
        <v>2512269000000</v>
      </c>
      <c r="O415">
        <v>100615000000</v>
      </c>
      <c r="P415">
        <v>1701760000000</v>
      </c>
      <c r="Q415">
        <v>518941000000</v>
      </c>
      <c r="R415">
        <v>982055000000</v>
      </c>
      <c r="S415">
        <v>241566000000</v>
      </c>
      <c r="T415">
        <v>0.29571999999999998</v>
      </c>
      <c r="U415">
        <f t="shared" si="42"/>
        <v>0.50187523090056763</v>
      </c>
      <c r="V415">
        <f t="shared" si="43"/>
        <v>-1.4666441188524031</v>
      </c>
      <c r="W415">
        <f t="shared" si="44"/>
        <v>7.5297501860752972E-2</v>
      </c>
      <c r="X415">
        <f t="shared" si="45"/>
        <v>1</v>
      </c>
      <c r="Y415">
        <f t="shared" si="46"/>
        <v>0</v>
      </c>
      <c r="Z415">
        <f t="shared" si="47"/>
        <v>0</v>
      </c>
      <c r="AA415">
        <f t="shared" si="48"/>
        <v>0</v>
      </c>
    </row>
    <row r="416" spans="1:27" x14ac:dyDescent="0.35">
      <c r="A416" s="1">
        <v>1.47015615939371</v>
      </c>
      <c r="B416" s="1">
        <v>5.2883635450936</v>
      </c>
      <c r="C416" s="1">
        <v>6.9974466405310007E-2</v>
      </c>
      <c r="D416" s="1">
        <v>191.16632000000001</v>
      </c>
      <c r="E416" s="1">
        <v>60.330849999999998</v>
      </c>
      <c r="F416" s="1">
        <v>1.4891799999999999</v>
      </c>
      <c r="G416" s="1">
        <v>0.45434999999999998</v>
      </c>
      <c r="H416" s="1">
        <v>0.751667243637402</v>
      </c>
      <c r="I416" s="1">
        <v>-0.12837999999999999</v>
      </c>
      <c r="J416" s="1">
        <v>565684000000</v>
      </c>
      <c r="K416" s="1">
        <v>-492614000000</v>
      </c>
      <c r="L416">
        <v>3837040000000</v>
      </c>
      <c r="M416">
        <v>68903000000</v>
      </c>
      <c r="N416">
        <v>2669618000000</v>
      </c>
      <c r="O416">
        <v>52214000000</v>
      </c>
      <c r="P416">
        <v>2314919000000</v>
      </c>
      <c r="Q416">
        <v>410184000000</v>
      </c>
      <c r="R416">
        <v>902798000000</v>
      </c>
      <c r="S416">
        <v>248521000000</v>
      </c>
      <c r="T416">
        <v>0.26273000000000002</v>
      </c>
      <c r="U416">
        <f t="shared" si="42"/>
        <v>0.3952772567607678</v>
      </c>
      <c r="V416">
        <f t="shared" si="43"/>
        <v>-0.92055941614306713</v>
      </c>
      <c r="W416">
        <f t="shared" si="44"/>
        <v>6.5857819569251297E-2</v>
      </c>
      <c r="X416">
        <f t="shared" si="45"/>
        <v>1</v>
      </c>
      <c r="Y416">
        <f t="shared" si="46"/>
        <v>0</v>
      </c>
      <c r="Z416">
        <f t="shared" si="47"/>
        <v>0</v>
      </c>
      <c r="AA416">
        <f t="shared" si="48"/>
        <v>0</v>
      </c>
    </row>
    <row r="417" spans="1:27" x14ac:dyDescent="0.35">
      <c r="A417">
        <v>17.686251141008999</v>
      </c>
      <c r="B417" s="1">
        <v>50.740191167884703</v>
      </c>
      <c r="C417">
        <v>0.138475425635495</v>
      </c>
      <c r="D417">
        <v>124.20298</v>
      </c>
      <c r="E417">
        <v>47.269530000000003</v>
      </c>
      <c r="F417">
        <v>3.5882200000000002</v>
      </c>
      <c r="G417">
        <v>1.1417299999999999</v>
      </c>
      <c r="H417">
        <v>0.85445244180679802</v>
      </c>
      <c r="I417">
        <v>3.4880000000000001E-2</v>
      </c>
      <c r="J417">
        <v>708628000000</v>
      </c>
      <c r="K417" s="1">
        <v>141313000000</v>
      </c>
      <c r="L417">
        <v>4051811000000</v>
      </c>
      <c r="M417">
        <v>995325000000</v>
      </c>
      <c r="N417">
        <v>3370324000000</v>
      </c>
      <c r="O417">
        <v>697621000000</v>
      </c>
      <c r="P417">
        <v>1915272000000</v>
      </c>
      <c r="Q417">
        <v>1138374000000</v>
      </c>
      <c r="R417">
        <v>997061000000</v>
      </c>
      <c r="S417">
        <v>546206000000</v>
      </c>
      <c r="T417">
        <v>0.32804</v>
      </c>
      <c r="U417">
        <f t="shared" si="42"/>
        <v>1.4413489629176499</v>
      </c>
      <c r="V417">
        <f t="shared" si="43"/>
        <v>-2.3758578844651264</v>
      </c>
      <c r="W417">
        <f t="shared" si="44"/>
        <v>0.57617861173682583</v>
      </c>
      <c r="X417">
        <f t="shared" si="45"/>
        <v>0</v>
      </c>
      <c r="Y417">
        <f t="shared" si="46"/>
        <v>0</v>
      </c>
      <c r="Z417">
        <f t="shared" si="47"/>
        <v>0</v>
      </c>
      <c r="AA417">
        <f t="shared" si="48"/>
        <v>0</v>
      </c>
    </row>
    <row r="418" spans="1:27" x14ac:dyDescent="0.35">
      <c r="A418">
        <v>33.440697150894998</v>
      </c>
      <c r="B418" s="1">
        <v>73.392286438410494</v>
      </c>
      <c r="C418">
        <v>0.36496988471526798</v>
      </c>
      <c r="D418">
        <v>68.448239999999998</v>
      </c>
      <c r="E418">
        <v>34.591160000000002</v>
      </c>
      <c r="F418">
        <v>13.58196</v>
      </c>
      <c r="G418">
        <v>1.7620800000000001</v>
      </c>
      <c r="H418">
        <v>1.1537641060622901</v>
      </c>
      <c r="I418">
        <v>0.17474000000000001</v>
      </c>
      <c r="J418">
        <v>1572221000000</v>
      </c>
      <c r="K418" s="1">
        <v>769548000000</v>
      </c>
      <c r="L418">
        <v>4403862000000</v>
      </c>
      <c r="M418">
        <v>1504605000000</v>
      </c>
      <c r="N418">
        <v>4877926000000</v>
      </c>
      <c r="O418">
        <v>1413818000000</v>
      </c>
      <c r="P418">
        <v>1523347000000</v>
      </c>
      <c r="Q418">
        <v>1779346000000</v>
      </c>
      <c r="R418">
        <v>1009798000000</v>
      </c>
      <c r="S418">
        <v>1543033000000</v>
      </c>
      <c r="T418">
        <v>0.45890999999999998</v>
      </c>
      <c r="U418">
        <f t="shared" si="42"/>
        <v>2.6821211139936554</v>
      </c>
      <c r="V418">
        <f t="shared" si="43"/>
        <v>-3.7659376818571078</v>
      </c>
      <c r="W418">
        <f t="shared" si="44"/>
        <v>1.543163649088005</v>
      </c>
      <c r="X418">
        <f t="shared" si="45"/>
        <v>0</v>
      </c>
      <c r="Y418">
        <f t="shared" si="46"/>
        <v>0</v>
      </c>
      <c r="Z418">
        <f t="shared" si="47"/>
        <v>0</v>
      </c>
      <c r="AA418">
        <f t="shared" si="48"/>
        <v>0</v>
      </c>
    </row>
    <row r="419" spans="1:27" x14ac:dyDescent="0.35">
      <c r="A419">
        <v>19.2329409454135</v>
      </c>
      <c r="B419" s="1">
        <v>33.345334454195402</v>
      </c>
      <c r="C419">
        <v>0.221337379646879</v>
      </c>
      <c r="D419">
        <v>45.491520000000001</v>
      </c>
      <c r="E419">
        <v>28.880579999999998</v>
      </c>
      <c r="F419">
        <v>10.4034</v>
      </c>
      <c r="G419">
        <v>2.21658</v>
      </c>
      <c r="H419">
        <v>1.01638228220771</v>
      </c>
      <c r="I419">
        <v>0.19001999999999999</v>
      </c>
      <c r="J419">
        <v>1127635000000</v>
      </c>
      <c r="K419" s="1">
        <v>773136000000</v>
      </c>
      <c r="L419">
        <v>4068706000000</v>
      </c>
      <c r="M419">
        <v>901643000000</v>
      </c>
      <c r="N419">
        <v>4305684000000</v>
      </c>
      <c r="O419">
        <v>814762000000</v>
      </c>
      <c r="P419">
        <v>1175066000000</v>
      </c>
      <c r="Q419">
        <v>1408633000000</v>
      </c>
      <c r="R419">
        <v>635497000000</v>
      </c>
      <c r="S419">
        <v>937648000000</v>
      </c>
      <c r="T419">
        <v>0.57726999999999995</v>
      </c>
      <c r="U419">
        <f t="shared" si="42"/>
        <v>2.2629187956205579</v>
      </c>
      <c r="V419">
        <f t="shared" si="43"/>
        <v>-3.5460694560529467</v>
      </c>
      <c r="W419">
        <f t="shared" si="44"/>
        <v>1.1582013116700984</v>
      </c>
      <c r="X419">
        <f t="shared" si="45"/>
        <v>0</v>
      </c>
      <c r="Y419">
        <f t="shared" si="46"/>
        <v>0</v>
      </c>
      <c r="Z419">
        <f t="shared" si="47"/>
        <v>0</v>
      </c>
      <c r="AA419">
        <f t="shared" si="48"/>
        <v>0</v>
      </c>
    </row>
    <row r="420" spans="1:27" x14ac:dyDescent="0.35">
      <c r="A420" s="1">
        <v>17.020072508204301</v>
      </c>
      <c r="B420" s="1">
        <v>25.632111407982201</v>
      </c>
      <c r="C420" s="1">
        <v>0.15924464270949601</v>
      </c>
      <c r="D420" s="1">
        <v>41.834629999999997</v>
      </c>
      <c r="E420" s="1">
        <v>27.129860000000001</v>
      </c>
      <c r="F420" s="1">
        <v>7.9462200000000003</v>
      </c>
      <c r="G420" s="1">
        <v>1.89256</v>
      </c>
      <c r="H420" s="1">
        <v>1.0248400223018701</v>
      </c>
      <c r="I420" s="1">
        <v>0.12433</v>
      </c>
      <c r="J420" s="1">
        <v>995953000000</v>
      </c>
      <c r="K420" s="1">
        <v>548228000000</v>
      </c>
      <c r="L420">
        <v>4409507000000</v>
      </c>
      <c r="M420">
        <v>862000000000</v>
      </c>
      <c r="N420">
        <v>4344406000000</v>
      </c>
      <c r="O420">
        <v>721499000000</v>
      </c>
      <c r="P420">
        <v>1196293000000</v>
      </c>
      <c r="Q420">
        <v>1162447000000</v>
      </c>
      <c r="R420">
        <v>614219000000</v>
      </c>
      <c r="S420">
        <v>675055000000</v>
      </c>
      <c r="T420">
        <v>0.58218000000000003</v>
      </c>
      <c r="U420">
        <f t="shared" si="42"/>
        <v>1.9183912045172848</v>
      </c>
      <c r="V420">
        <f t="shared" si="43"/>
        <v>-3.4823336155113322</v>
      </c>
      <c r="W420">
        <f t="shared" si="44"/>
        <v>0.78588134750664873</v>
      </c>
      <c r="X420">
        <f t="shared" si="45"/>
        <v>0</v>
      </c>
      <c r="Y420">
        <f t="shared" si="46"/>
        <v>0</v>
      </c>
      <c r="Z420">
        <f t="shared" si="47"/>
        <v>0</v>
      </c>
      <c r="AA420">
        <f t="shared" si="48"/>
        <v>0</v>
      </c>
    </row>
    <row r="421" spans="1:27" x14ac:dyDescent="0.35">
      <c r="A421" s="1" t="s">
        <v>3</v>
      </c>
      <c r="B421" s="1" t="s">
        <v>3</v>
      </c>
      <c r="C421" s="1" t="s">
        <v>3</v>
      </c>
      <c r="D421" s="1" t="s">
        <v>3</v>
      </c>
      <c r="E421" s="1" t="s">
        <v>3</v>
      </c>
      <c r="F421" s="1" t="s">
        <v>3</v>
      </c>
      <c r="G421" s="1" t="s">
        <v>3</v>
      </c>
      <c r="H421" s="1" t="s">
        <v>3</v>
      </c>
      <c r="I421" s="1" t="s">
        <v>3</v>
      </c>
      <c r="J421" s="1" t="s">
        <v>3</v>
      </c>
      <c r="K421" s="1" t="s">
        <v>3</v>
      </c>
      <c r="L421">
        <v>5290964000000</v>
      </c>
      <c r="M421">
        <v>649193000000</v>
      </c>
      <c r="N421">
        <v>4348392000000</v>
      </c>
      <c r="O421">
        <v>553110000000</v>
      </c>
      <c r="P421">
        <v>1716507000000</v>
      </c>
      <c r="Q421">
        <v>1020094000000</v>
      </c>
      <c r="R421">
        <v>757904000000</v>
      </c>
      <c r="S421">
        <v>636131000000</v>
      </c>
      <c r="T421">
        <v>0.53656000000000004</v>
      </c>
      <c r="U421" t="e">
        <f t="shared" si="42"/>
        <v>#VALUE!</v>
      </c>
      <c r="V421">
        <f t="shared" si="43"/>
        <v>-2.9158325402291467</v>
      </c>
      <c r="W421" t="e">
        <f t="shared" si="44"/>
        <v>#VALUE!</v>
      </c>
      <c r="X421" t="e">
        <f t="shared" si="45"/>
        <v>#VALUE!</v>
      </c>
      <c r="Y421">
        <f t="shared" si="46"/>
        <v>0</v>
      </c>
      <c r="Z421" t="e">
        <f t="shared" si="47"/>
        <v>#VALUE!</v>
      </c>
      <c r="AA421" t="e">
        <f t="shared" si="48"/>
        <v>#VALUE!</v>
      </c>
    </row>
    <row r="422" spans="1:27" x14ac:dyDescent="0.35">
      <c r="A422" s="1" t="s">
        <v>3</v>
      </c>
      <c r="B422" s="1" t="s">
        <v>3</v>
      </c>
      <c r="C422" s="1" t="s">
        <v>3</v>
      </c>
      <c r="D422" s="1" t="s">
        <v>3</v>
      </c>
      <c r="E422" s="1" t="s">
        <v>3</v>
      </c>
      <c r="F422" s="1" t="s">
        <v>3</v>
      </c>
      <c r="G422" s="1" t="s">
        <v>3</v>
      </c>
      <c r="H422" s="1" t="s">
        <v>3</v>
      </c>
      <c r="I422" s="1" t="s">
        <v>3</v>
      </c>
      <c r="J422" s="1" t="s">
        <v>3</v>
      </c>
      <c r="K422" s="1" t="s">
        <v>3</v>
      </c>
      <c r="L422" s="1" t="s">
        <v>3</v>
      </c>
      <c r="M422" s="1" t="s">
        <v>3</v>
      </c>
      <c r="N422" s="1" t="s">
        <v>3</v>
      </c>
      <c r="O422" s="1" t="s">
        <v>3</v>
      </c>
      <c r="P422" s="1" t="s">
        <v>3</v>
      </c>
      <c r="Q422" s="1" t="s">
        <v>3</v>
      </c>
      <c r="R422" s="1" t="s">
        <v>3</v>
      </c>
      <c r="S422" s="1" t="s">
        <v>3</v>
      </c>
      <c r="T422" s="1" t="s">
        <v>3</v>
      </c>
      <c r="U422" t="e">
        <f t="shared" si="42"/>
        <v>#VALUE!</v>
      </c>
      <c r="V422" t="e">
        <f t="shared" si="43"/>
        <v>#VALUE!</v>
      </c>
      <c r="W422" t="e">
        <f t="shared" si="44"/>
        <v>#VALUE!</v>
      </c>
      <c r="X422" t="e">
        <f t="shared" si="45"/>
        <v>#VALUE!</v>
      </c>
      <c r="Y422" t="e">
        <f t="shared" si="46"/>
        <v>#VALUE!</v>
      </c>
      <c r="Z422" t="e">
        <f t="shared" si="47"/>
        <v>#VALUE!</v>
      </c>
      <c r="AA422" t="e">
        <f t="shared" si="48"/>
        <v>#VALUE!</v>
      </c>
    </row>
    <row r="423" spans="1:27" x14ac:dyDescent="0.35">
      <c r="A423" s="1" t="s">
        <v>3</v>
      </c>
      <c r="B423" s="1" t="s">
        <v>3</v>
      </c>
      <c r="C423" s="1" t="s">
        <v>3</v>
      </c>
      <c r="D423" s="1" t="s">
        <v>3</v>
      </c>
      <c r="E423" s="1" t="s">
        <v>3</v>
      </c>
      <c r="F423" s="1" t="s">
        <v>3</v>
      </c>
      <c r="G423" s="1" t="s">
        <v>3</v>
      </c>
      <c r="H423" s="1" t="s">
        <v>3</v>
      </c>
      <c r="I423" s="1" t="s">
        <v>3</v>
      </c>
      <c r="J423" s="1" t="s">
        <v>3</v>
      </c>
      <c r="K423" s="1" t="s">
        <v>3</v>
      </c>
      <c r="L423" s="1" t="s">
        <v>3</v>
      </c>
      <c r="M423" s="1" t="s">
        <v>3</v>
      </c>
      <c r="N423" s="1" t="s">
        <v>3</v>
      </c>
      <c r="O423" s="1" t="s">
        <v>3</v>
      </c>
      <c r="P423" s="1" t="s">
        <v>3</v>
      </c>
      <c r="Q423" s="1" t="s">
        <v>3</v>
      </c>
      <c r="R423" s="1" t="s">
        <v>3</v>
      </c>
      <c r="S423" s="1" t="s">
        <v>3</v>
      </c>
      <c r="T423" s="1" t="s">
        <v>3</v>
      </c>
      <c r="U423" t="e">
        <f t="shared" si="42"/>
        <v>#VALUE!</v>
      </c>
      <c r="V423" t="e">
        <f t="shared" si="43"/>
        <v>#VALUE!</v>
      </c>
      <c r="W423" t="e">
        <f t="shared" si="44"/>
        <v>#VALUE!</v>
      </c>
      <c r="X423" t="e">
        <f t="shared" si="45"/>
        <v>#VALUE!</v>
      </c>
      <c r="Y423" t="e">
        <f t="shared" si="46"/>
        <v>#VALUE!</v>
      </c>
      <c r="Z423" t="e">
        <f t="shared" si="47"/>
        <v>#VALUE!</v>
      </c>
      <c r="AA423" t="e">
        <f t="shared" si="48"/>
        <v>#VALUE!</v>
      </c>
    </row>
    <row r="424" spans="1:27" x14ac:dyDescent="0.35">
      <c r="A424" s="1" t="s">
        <v>3</v>
      </c>
      <c r="B424" s="1" t="s">
        <v>3</v>
      </c>
      <c r="C424" s="1" t="s">
        <v>3</v>
      </c>
      <c r="D424" s="1" t="s">
        <v>3</v>
      </c>
      <c r="E424" s="1" t="s">
        <v>3</v>
      </c>
      <c r="F424" s="1" t="s">
        <v>3</v>
      </c>
      <c r="G424" s="1" t="s">
        <v>3</v>
      </c>
      <c r="H424" s="1" t="s">
        <v>3</v>
      </c>
      <c r="I424" s="1" t="s">
        <v>3</v>
      </c>
      <c r="J424" s="1" t="s">
        <v>3</v>
      </c>
      <c r="K424" s="1" t="s">
        <v>3</v>
      </c>
      <c r="L424" s="1" t="s">
        <v>3</v>
      </c>
      <c r="M424" s="1" t="s">
        <v>3</v>
      </c>
      <c r="N424" s="1" t="s">
        <v>3</v>
      </c>
      <c r="O424" s="1" t="s">
        <v>3</v>
      </c>
      <c r="P424" s="1" t="s">
        <v>3</v>
      </c>
      <c r="Q424" s="1" t="s">
        <v>3</v>
      </c>
      <c r="R424" s="1" t="s">
        <v>3</v>
      </c>
      <c r="S424" s="1" t="s">
        <v>3</v>
      </c>
      <c r="T424" s="1" t="s">
        <v>3</v>
      </c>
      <c r="U424" t="e">
        <f t="shared" si="42"/>
        <v>#VALUE!</v>
      </c>
      <c r="V424" t="e">
        <f t="shared" si="43"/>
        <v>#VALUE!</v>
      </c>
      <c r="W424" t="e">
        <f t="shared" si="44"/>
        <v>#VALUE!</v>
      </c>
      <c r="X424" t="e">
        <f t="shared" si="45"/>
        <v>#VALUE!</v>
      </c>
      <c r="Y424" t="e">
        <f t="shared" si="46"/>
        <v>#VALUE!</v>
      </c>
      <c r="Z424" t="e">
        <f t="shared" si="47"/>
        <v>#VALUE!</v>
      </c>
      <c r="AA424" t="e">
        <f t="shared" si="48"/>
        <v>#VALUE!</v>
      </c>
    </row>
    <row r="425" spans="1:27" x14ac:dyDescent="0.35">
      <c r="A425" s="1" t="s">
        <v>3</v>
      </c>
      <c r="B425" s="1" t="s">
        <v>3</v>
      </c>
      <c r="C425" s="1" t="s">
        <v>3</v>
      </c>
      <c r="D425" s="1" t="s">
        <v>3</v>
      </c>
      <c r="E425" s="1" t="s">
        <v>3</v>
      </c>
      <c r="F425" s="1" t="s">
        <v>3</v>
      </c>
      <c r="G425" s="1" t="s">
        <v>3</v>
      </c>
      <c r="H425" s="1" t="s">
        <v>3</v>
      </c>
      <c r="I425" s="1" t="s">
        <v>3</v>
      </c>
      <c r="J425" s="1" t="s">
        <v>3</v>
      </c>
      <c r="K425" s="1" t="s">
        <v>3</v>
      </c>
      <c r="L425" s="1" t="s">
        <v>3</v>
      </c>
      <c r="M425" s="1" t="s">
        <v>3</v>
      </c>
      <c r="N425" s="1" t="s">
        <v>3</v>
      </c>
      <c r="O425" s="1" t="s">
        <v>3</v>
      </c>
      <c r="P425" s="1" t="s">
        <v>3</v>
      </c>
      <c r="Q425" s="1" t="s">
        <v>3</v>
      </c>
      <c r="R425" s="1" t="s">
        <v>3</v>
      </c>
      <c r="S425" s="1" t="s">
        <v>3</v>
      </c>
      <c r="T425" s="1" t="s">
        <v>3</v>
      </c>
      <c r="U425" t="e">
        <f t="shared" si="42"/>
        <v>#VALUE!</v>
      </c>
      <c r="V425" t="e">
        <f t="shared" si="43"/>
        <v>#VALUE!</v>
      </c>
      <c r="W425" t="e">
        <f t="shared" si="44"/>
        <v>#VALUE!</v>
      </c>
      <c r="X425" t="e">
        <f t="shared" si="45"/>
        <v>#VALUE!</v>
      </c>
      <c r="Y425" t="e">
        <f t="shared" si="46"/>
        <v>#VALUE!</v>
      </c>
      <c r="Z425" t="e">
        <f t="shared" si="47"/>
        <v>#VALUE!</v>
      </c>
      <c r="AA425" t="e">
        <f t="shared" si="48"/>
        <v>#VALUE!</v>
      </c>
    </row>
    <row r="426" spans="1:27" x14ac:dyDescent="0.35">
      <c r="A426" s="1" t="s">
        <v>3</v>
      </c>
      <c r="B426" s="1" t="s">
        <v>3</v>
      </c>
      <c r="C426" s="1" t="s">
        <v>3</v>
      </c>
      <c r="D426" s="1" t="s">
        <v>3</v>
      </c>
      <c r="E426" s="1" t="s">
        <v>3</v>
      </c>
      <c r="F426" s="1" t="s">
        <v>3</v>
      </c>
      <c r="G426" s="1" t="s">
        <v>3</v>
      </c>
      <c r="H426" s="1" t="s">
        <v>3</v>
      </c>
      <c r="I426" s="1" t="s">
        <v>3</v>
      </c>
      <c r="J426" s="1" t="s">
        <v>3</v>
      </c>
      <c r="K426" s="1" t="s">
        <v>3</v>
      </c>
      <c r="L426" s="1" t="s">
        <v>3</v>
      </c>
      <c r="M426" s="1" t="s">
        <v>3</v>
      </c>
      <c r="N426" s="1" t="s">
        <v>3</v>
      </c>
      <c r="O426" s="1" t="s">
        <v>3</v>
      </c>
      <c r="P426" s="1" t="s">
        <v>3</v>
      </c>
      <c r="Q426" s="1" t="s">
        <v>3</v>
      </c>
      <c r="R426" s="1" t="s">
        <v>3</v>
      </c>
      <c r="S426" s="1" t="s">
        <v>3</v>
      </c>
      <c r="T426" s="1" t="s">
        <v>3</v>
      </c>
      <c r="U426" t="e">
        <f t="shared" si="42"/>
        <v>#VALUE!</v>
      </c>
      <c r="V426" t="e">
        <f t="shared" si="43"/>
        <v>#VALUE!</v>
      </c>
      <c r="W426" t="e">
        <f t="shared" si="44"/>
        <v>#VALUE!</v>
      </c>
      <c r="X426" t="e">
        <f t="shared" si="45"/>
        <v>#VALUE!</v>
      </c>
      <c r="Y426" t="e">
        <f t="shared" si="46"/>
        <v>#VALUE!</v>
      </c>
      <c r="Z426" t="e">
        <f t="shared" si="47"/>
        <v>#VALUE!</v>
      </c>
      <c r="AA426" t="e">
        <f t="shared" si="48"/>
        <v>#VALUE!</v>
      </c>
    </row>
    <row r="427" spans="1:27" x14ac:dyDescent="0.35">
      <c r="A427" s="1" t="s">
        <v>3</v>
      </c>
      <c r="B427" s="1" t="s">
        <v>3</v>
      </c>
      <c r="C427" s="1" t="s">
        <v>3</v>
      </c>
      <c r="D427" s="1" t="s">
        <v>3</v>
      </c>
      <c r="E427" s="1" t="s">
        <v>3</v>
      </c>
      <c r="F427" s="1" t="s">
        <v>3</v>
      </c>
      <c r="G427" s="1" t="s">
        <v>3</v>
      </c>
      <c r="H427" s="1" t="s">
        <v>3</v>
      </c>
      <c r="I427" s="1" t="s">
        <v>3</v>
      </c>
      <c r="J427" s="1" t="s">
        <v>3</v>
      </c>
      <c r="K427" s="1" t="s">
        <v>3</v>
      </c>
      <c r="L427" s="1" t="s">
        <v>3</v>
      </c>
      <c r="M427" s="1" t="s">
        <v>3</v>
      </c>
      <c r="N427" s="1" t="s">
        <v>3</v>
      </c>
      <c r="O427" s="1" t="s">
        <v>3</v>
      </c>
      <c r="P427" s="1" t="s">
        <v>3</v>
      </c>
      <c r="Q427" s="1" t="s">
        <v>3</v>
      </c>
      <c r="R427" s="1" t="s">
        <v>3</v>
      </c>
      <c r="S427" s="1" t="s">
        <v>3</v>
      </c>
      <c r="T427" s="1" t="s">
        <v>3</v>
      </c>
      <c r="U427" t="e">
        <f t="shared" si="42"/>
        <v>#VALUE!</v>
      </c>
      <c r="V427" t="e">
        <f t="shared" si="43"/>
        <v>#VALUE!</v>
      </c>
      <c r="W427" t="e">
        <f t="shared" si="44"/>
        <v>#VALUE!</v>
      </c>
      <c r="X427" t="e">
        <f t="shared" si="45"/>
        <v>#VALUE!</v>
      </c>
      <c r="Y427" t="e">
        <f t="shared" si="46"/>
        <v>#VALUE!</v>
      </c>
      <c r="Z427" t="e">
        <f t="shared" si="47"/>
        <v>#VALUE!</v>
      </c>
      <c r="AA427" t="e">
        <f t="shared" si="48"/>
        <v>#VALUE!</v>
      </c>
    </row>
    <row r="428" spans="1:27" x14ac:dyDescent="0.35">
      <c r="A428" s="1" t="s">
        <v>3</v>
      </c>
      <c r="B428" s="1" t="s">
        <v>3</v>
      </c>
      <c r="C428" s="1" t="s">
        <v>3</v>
      </c>
      <c r="D428" s="1" t="s">
        <v>3</v>
      </c>
      <c r="E428" s="1" t="s">
        <v>3</v>
      </c>
      <c r="F428" s="1" t="s">
        <v>3</v>
      </c>
      <c r="G428" s="1" t="s">
        <v>3</v>
      </c>
      <c r="H428" s="1" t="s">
        <v>3</v>
      </c>
      <c r="I428" s="1" t="s">
        <v>3</v>
      </c>
      <c r="J428" s="1" t="s">
        <v>3</v>
      </c>
      <c r="K428" s="1" t="s">
        <v>3</v>
      </c>
      <c r="L428" s="1" t="s">
        <v>3</v>
      </c>
      <c r="M428" s="1" t="s">
        <v>3</v>
      </c>
      <c r="N428" s="1" t="s">
        <v>3</v>
      </c>
      <c r="O428" s="1" t="s">
        <v>3</v>
      </c>
      <c r="P428" s="1" t="s">
        <v>3</v>
      </c>
      <c r="Q428" s="1" t="s">
        <v>3</v>
      </c>
      <c r="R428" s="1" t="s">
        <v>3</v>
      </c>
      <c r="S428" s="1" t="s">
        <v>3</v>
      </c>
      <c r="T428" s="1" t="s">
        <v>3</v>
      </c>
      <c r="U428" t="e">
        <f t="shared" si="42"/>
        <v>#VALUE!</v>
      </c>
      <c r="V428" t="e">
        <f t="shared" si="43"/>
        <v>#VALUE!</v>
      </c>
      <c r="W428" t="e">
        <f t="shared" si="44"/>
        <v>#VALUE!</v>
      </c>
      <c r="X428" t="e">
        <f t="shared" si="45"/>
        <v>#VALUE!</v>
      </c>
      <c r="Y428" t="e">
        <f t="shared" si="46"/>
        <v>#VALUE!</v>
      </c>
      <c r="Z428" t="e">
        <f t="shared" si="47"/>
        <v>#VALUE!</v>
      </c>
      <c r="AA428" t="e">
        <f t="shared" si="48"/>
        <v>#VALUE!</v>
      </c>
    </row>
    <row r="429" spans="1:27" x14ac:dyDescent="0.35">
      <c r="A429" s="1" t="s">
        <v>3</v>
      </c>
      <c r="B429" s="1" t="s">
        <v>3</v>
      </c>
      <c r="C429" s="1" t="s">
        <v>3</v>
      </c>
      <c r="D429" s="1" t="s">
        <v>3</v>
      </c>
      <c r="E429" s="1" t="s">
        <v>3</v>
      </c>
      <c r="F429" s="1" t="s">
        <v>3</v>
      </c>
      <c r="G429" s="1" t="s">
        <v>3</v>
      </c>
      <c r="H429" s="1" t="s">
        <v>3</v>
      </c>
      <c r="I429" s="1" t="s">
        <v>3</v>
      </c>
      <c r="J429" s="1" t="s">
        <v>3</v>
      </c>
      <c r="K429" s="1" t="s">
        <v>3</v>
      </c>
      <c r="L429" s="1" t="s">
        <v>3</v>
      </c>
      <c r="M429" s="1" t="s">
        <v>3</v>
      </c>
      <c r="N429" s="1" t="s">
        <v>3</v>
      </c>
      <c r="O429" s="1" t="s">
        <v>3</v>
      </c>
      <c r="P429" s="1" t="s">
        <v>3</v>
      </c>
      <c r="Q429" s="1" t="s">
        <v>3</v>
      </c>
      <c r="R429" s="1" t="s">
        <v>3</v>
      </c>
      <c r="S429" s="1" t="s">
        <v>3</v>
      </c>
      <c r="T429" s="1" t="s">
        <v>3</v>
      </c>
      <c r="U429" t="e">
        <f t="shared" si="42"/>
        <v>#VALUE!</v>
      </c>
      <c r="V429" t="e">
        <f t="shared" si="43"/>
        <v>#VALUE!</v>
      </c>
      <c r="W429" t="e">
        <f t="shared" si="44"/>
        <v>#VALUE!</v>
      </c>
      <c r="X429" t="e">
        <f t="shared" si="45"/>
        <v>#VALUE!</v>
      </c>
      <c r="Y429" t="e">
        <f t="shared" si="46"/>
        <v>#VALUE!</v>
      </c>
      <c r="Z429" t="e">
        <f t="shared" si="47"/>
        <v>#VALUE!</v>
      </c>
      <c r="AA429" t="e">
        <f t="shared" si="48"/>
        <v>#VALUE!</v>
      </c>
    </row>
    <row r="430" spans="1:27" x14ac:dyDescent="0.35">
      <c r="A430" s="1" t="s">
        <v>3</v>
      </c>
      <c r="B430" s="1" t="s">
        <v>3</v>
      </c>
      <c r="C430" s="1" t="s">
        <v>3</v>
      </c>
      <c r="D430" s="1" t="s">
        <v>3</v>
      </c>
      <c r="E430" s="1" t="s">
        <v>3</v>
      </c>
      <c r="F430" s="1" t="s">
        <v>3</v>
      </c>
      <c r="G430" s="1" t="s">
        <v>3</v>
      </c>
      <c r="H430" s="1" t="s">
        <v>3</v>
      </c>
      <c r="I430" s="1" t="s">
        <v>3</v>
      </c>
      <c r="J430" s="1" t="s">
        <v>3</v>
      </c>
      <c r="K430" s="1" t="s">
        <v>3</v>
      </c>
      <c r="L430" s="1" t="s">
        <v>3</v>
      </c>
      <c r="M430" s="1" t="s">
        <v>3</v>
      </c>
      <c r="N430" s="1" t="s">
        <v>3</v>
      </c>
      <c r="O430" s="1" t="s">
        <v>3</v>
      </c>
      <c r="P430" s="1" t="s">
        <v>3</v>
      </c>
      <c r="Q430" s="1" t="s">
        <v>3</v>
      </c>
      <c r="R430" s="1" t="s">
        <v>3</v>
      </c>
      <c r="S430" s="1" t="s">
        <v>3</v>
      </c>
      <c r="T430" s="1" t="s">
        <v>3</v>
      </c>
      <c r="U430" t="e">
        <f t="shared" si="42"/>
        <v>#VALUE!</v>
      </c>
      <c r="V430" t="e">
        <f t="shared" si="43"/>
        <v>#VALUE!</v>
      </c>
      <c r="W430" t="e">
        <f t="shared" si="44"/>
        <v>#VALUE!</v>
      </c>
      <c r="X430" t="e">
        <f t="shared" si="45"/>
        <v>#VALUE!</v>
      </c>
      <c r="Y430" t="e">
        <f t="shared" si="46"/>
        <v>#VALUE!</v>
      </c>
      <c r="Z430" t="e">
        <f t="shared" si="47"/>
        <v>#VALUE!</v>
      </c>
      <c r="AA430" t="e">
        <f t="shared" si="48"/>
        <v>#VALUE!</v>
      </c>
    </row>
    <row r="431" spans="1:27" x14ac:dyDescent="0.35">
      <c r="A431" s="1" t="s">
        <v>3</v>
      </c>
      <c r="B431" s="1" t="s">
        <v>3</v>
      </c>
      <c r="C431" s="1" t="s">
        <v>3</v>
      </c>
      <c r="D431" s="1" t="s">
        <v>3</v>
      </c>
      <c r="E431" s="1" t="s">
        <v>3</v>
      </c>
      <c r="F431" s="1" t="s">
        <v>3</v>
      </c>
      <c r="G431" s="1" t="s">
        <v>3</v>
      </c>
      <c r="H431" s="1" t="s">
        <v>3</v>
      </c>
      <c r="I431" s="1" t="s">
        <v>3</v>
      </c>
      <c r="J431" s="1" t="s">
        <v>3</v>
      </c>
      <c r="K431" s="1" t="s">
        <v>3</v>
      </c>
      <c r="L431" s="1" t="s">
        <v>3</v>
      </c>
      <c r="M431" s="1" t="s">
        <v>3</v>
      </c>
      <c r="N431" s="1" t="s">
        <v>3</v>
      </c>
      <c r="O431" s="1" t="s">
        <v>3</v>
      </c>
      <c r="P431" s="1" t="s">
        <v>3</v>
      </c>
      <c r="Q431" s="1" t="s">
        <v>3</v>
      </c>
      <c r="R431" s="1" t="s">
        <v>3</v>
      </c>
      <c r="S431" s="1" t="s">
        <v>3</v>
      </c>
      <c r="T431" s="1" t="s">
        <v>3</v>
      </c>
      <c r="U431" t="e">
        <f t="shared" si="42"/>
        <v>#VALUE!</v>
      </c>
      <c r="V431" t="e">
        <f t="shared" si="43"/>
        <v>#VALUE!</v>
      </c>
      <c r="W431" t="e">
        <f t="shared" si="44"/>
        <v>#VALUE!</v>
      </c>
      <c r="X431" t="e">
        <f t="shared" si="45"/>
        <v>#VALUE!</v>
      </c>
      <c r="Y431" t="e">
        <f t="shared" si="46"/>
        <v>#VALUE!</v>
      </c>
      <c r="Z431" t="e">
        <f t="shared" si="47"/>
        <v>#VALUE!</v>
      </c>
      <c r="AA431" t="e">
        <f t="shared" si="48"/>
        <v>#VALUE!</v>
      </c>
    </row>
    <row r="432" spans="1:27" x14ac:dyDescent="0.35">
      <c r="A432" s="1" t="s">
        <v>3</v>
      </c>
      <c r="B432" s="1" t="s">
        <v>3</v>
      </c>
      <c r="C432" s="1" t="s">
        <v>3</v>
      </c>
      <c r="D432" s="1" t="s">
        <v>3</v>
      </c>
      <c r="E432" s="1" t="s">
        <v>3</v>
      </c>
      <c r="F432" s="1" t="s">
        <v>3</v>
      </c>
      <c r="G432" s="1" t="s">
        <v>3</v>
      </c>
      <c r="H432" s="1" t="s">
        <v>3</v>
      </c>
      <c r="I432" s="1" t="s">
        <v>3</v>
      </c>
      <c r="J432" s="1" t="s">
        <v>3</v>
      </c>
      <c r="K432" s="1" t="s">
        <v>3</v>
      </c>
      <c r="L432" s="1" t="s">
        <v>3</v>
      </c>
      <c r="M432" s="1" t="s">
        <v>3</v>
      </c>
      <c r="N432" s="1" t="s">
        <v>3</v>
      </c>
      <c r="O432" s="1" t="s">
        <v>3</v>
      </c>
      <c r="P432" s="1" t="s">
        <v>3</v>
      </c>
      <c r="Q432" s="1" t="s">
        <v>3</v>
      </c>
      <c r="R432" s="1" t="s">
        <v>3</v>
      </c>
      <c r="S432" s="1" t="s">
        <v>3</v>
      </c>
      <c r="T432" s="1" t="s">
        <v>3</v>
      </c>
      <c r="U432" t="e">
        <f t="shared" si="42"/>
        <v>#VALUE!</v>
      </c>
      <c r="V432" t="e">
        <f t="shared" si="43"/>
        <v>#VALUE!</v>
      </c>
      <c r="W432" t="e">
        <f t="shared" si="44"/>
        <v>#VALUE!</v>
      </c>
      <c r="X432" t="e">
        <f t="shared" si="45"/>
        <v>#VALUE!</v>
      </c>
      <c r="Y432" t="e">
        <f t="shared" si="46"/>
        <v>#VALUE!</v>
      </c>
      <c r="Z432" t="e">
        <f t="shared" si="47"/>
        <v>#VALUE!</v>
      </c>
      <c r="AA432" t="e">
        <f t="shared" si="48"/>
        <v>#VALUE!</v>
      </c>
    </row>
    <row r="433" spans="1:27" x14ac:dyDescent="0.35">
      <c r="A433" s="1" t="s">
        <v>3</v>
      </c>
      <c r="B433" s="1" t="s">
        <v>3</v>
      </c>
      <c r="C433" s="1" t="s">
        <v>3</v>
      </c>
      <c r="D433" s="1" t="s">
        <v>3</v>
      </c>
      <c r="E433" s="1" t="s">
        <v>3</v>
      </c>
      <c r="F433" s="1" t="s">
        <v>3</v>
      </c>
      <c r="G433" s="1" t="s">
        <v>3</v>
      </c>
      <c r="H433" s="1" t="s">
        <v>3</v>
      </c>
      <c r="I433" s="1" t="s">
        <v>3</v>
      </c>
      <c r="J433" s="1" t="s">
        <v>3</v>
      </c>
      <c r="K433" s="1" t="s">
        <v>3</v>
      </c>
      <c r="L433" s="1" t="s">
        <v>3</v>
      </c>
      <c r="M433" s="1" t="s">
        <v>3</v>
      </c>
      <c r="N433" s="1" t="s">
        <v>3</v>
      </c>
      <c r="O433" s="1" t="s">
        <v>3</v>
      </c>
      <c r="P433" s="1" t="s">
        <v>3</v>
      </c>
      <c r="Q433" s="1" t="s">
        <v>3</v>
      </c>
      <c r="R433" s="1" t="s">
        <v>3</v>
      </c>
      <c r="S433" s="1" t="s">
        <v>3</v>
      </c>
      <c r="T433" s="1" t="s">
        <v>3</v>
      </c>
      <c r="U433" t="e">
        <f t="shared" si="42"/>
        <v>#VALUE!</v>
      </c>
      <c r="V433" t="e">
        <f t="shared" si="43"/>
        <v>#VALUE!</v>
      </c>
      <c r="W433" t="e">
        <f t="shared" si="44"/>
        <v>#VALUE!</v>
      </c>
      <c r="X433" t="e">
        <f t="shared" si="45"/>
        <v>#VALUE!</v>
      </c>
      <c r="Y433" t="e">
        <f t="shared" si="46"/>
        <v>#VALUE!</v>
      </c>
      <c r="Z433" t="e">
        <f t="shared" si="47"/>
        <v>#VALUE!</v>
      </c>
      <c r="AA433" t="e">
        <f t="shared" si="48"/>
        <v>#VALUE!</v>
      </c>
    </row>
    <row r="434" spans="1:27" x14ac:dyDescent="0.35">
      <c r="A434" s="1" t="s">
        <v>3</v>
      </c>
      <c r="B434" s="1" t="s">
        <v>3</v>
      </c>
      <c r="C434" s="1" t="s">
        <v>3</v>
      </c>
      <c r="D434" s="1" t="s">
        <v>3</v>
      </c>
      <c r="E434" s="1" t="s">
        <v>3</v>
      </c>
      <c r="F434" s="1" t="s">
        <v>3</v>
      </c>
      <c r="G434" s="1" t="s">
        <v>3</v>
      </c>
      <c r="H434" s="1" t="s">
        <v>3</v>
      </c>
      <c r="I434" s="1" t="s">
        <v>3</v>
      </c>
      <c r="J434" s="1" t="s">
        <v>3</v>
      </c>
      <c r="K434" s="1" t="s">
        <v>3</v>
      </c>
      <c r="L434" s="1" t="s">
        <v>3</v>
      </c>
      <c r="M434" s="1" t="s">
        <v>3</v>
      </c>
      <c r="N434" s="1" t="s">
        <v>3</v>
      </c>
      <c r="O434" s="1" t="s">
        <v>3</v>
      </c>
      <c r="P434" s="1" t="s">
        <v>3</v>
      </c>
      <c r="Q434" s="1" t="s">
        <v>3</v>
      </c>
      <c r="R434" s="1" t="s">
        <v>3</v>
      </c>
      <c r="S434" s="1" t="s">
        <v>3</v>
      </c>
      <c r="T434" s="1" t="s">
        <v>3</v>
      </c>
      <c r="U434" t="e">
        <f t="shared" si="42"/>
        <v>#VALUE!</v>
      </c>
      <c r="V434" t="e">
        <f t="shared" si="43"/>
        <v>#VALUE!</v>
      </c>
      <c r="W434" t="e">
        <f t="shared" si="44"/>
        <v>#VALUE!</v>
      </c>
      <c r="X434" t="e">
        <f t="shared" si="45"/>
        <v>#VALUE!</v>
      </c>
      <c r="Y434" t="e">
        <f t="shared" si="46"/>
        <v>#VALUE!</v>
      </c>
      <c r="Z434" t="e">
        <f t="shared" si="47"/>
        <v>#VALUE!</v>
      </c>
      <c r="AA434" t="e">
        <f t="shared" si="48"/>
        <v>#VALUE!</v>
      </c>
    </row>
    <row r="435" spans="1:27" x14ac:dyDescent="0.35">
      <c r="A435" s="1" t="s">
        <v>3</v>
      </c>
      <c r="B435" s="1" t="s">
        <v>3</v>
      </c>
      <c r="C435" s="1" t="s">
        <v>3</v>
      </c>
      <c r="D435" s="1">
        <v>64.992500000000007</v>
      </c>
      <c r="E435" s="1">
        <v>34.81879</v>
      </c>
      <c r="F435" s="1">
        <v>0.55510999999999999</v>
      </c>
      <c r="G435" s="1">
        <v>1.96557</v>
      </c>
      <c r="H435" s="1" t="s">
        <v>3</v>
      </c>
      <c r="I435" s="1">
        <v>6.8669999999999995E-2</v>
      </c>
      <c r="J435" s="1">
        <v>6922586</v>
      </c>
      <c r="K435" s="1">
        <v>49822543</v>
      </c>
      <c r="L435" s="1">
        <v>725510636</v>
      </c>
      <c r="M435" s="1">
        <v>-63001660</v>
      </c>
      <c r="N435" s="1">
        <v>122464749</v>
      </c>
      <c r="O435" s="1">
        <v>-50825212</v>
      </c>
      <c r="P435" s="1">
        <v>252614045</v>
      </c>
      <c r="Q435" s="1">
        <v>101421514</v>
      </c>
      <c r="R435" s="1">
        <v>51598971</v>
      </c>
      <c r="S435" s="1">
        <v>1127056</v>
      </c>
      <c r="T435" s="1">
        <v>-9.2759999999999995E-2</v>
      </c>
      <c r="U435">
        <f t="shared" si="42"/>
        <v>-0.66283036078252566</v>
      </c>
      <c r="V435">
        <f t="shared" si="43"/>
        <v>-1.9922217233085553</v>
      </c>
      <c r="W435">
        <f t="shared" si="44"/>
        <v>0.1744765564456866</v>
      </c>
      <c r="X435">
        <f t="shared" si="45"/>
        <v>1</v>
      </c>
      <c r="Y435">
        <f t="shared" si="46"/>
        <v>0</v>
      </c>
      <c r="Z435">
        <f t="shared" si="47"/>
        <v>0</v>
      </c>
      <c r="AA435">
        <f t="shared" si="48"/>
        <v>0</v>
      </c>
    </row>
    <row r="436" spans="1:27" x14ac:dyDescent="0.35">
      <c r="A436" s="1">
        <v>-0.106119470033781</v>
      </c>
      <c r="B436" s="1">
        <v>-0.120428000727579</v>
      </c>
      <c r="C436" s="1">
        <v>9.6671270871812001E-2</v>
      </c>
      <c r="D436" s="1">
        <v>152.65094999999999</v>
      </c>
      <c r="E436" s="1">
        <v>52.37941</v>
      </c>
      <c r="F436" s="1">
        <v>31.839790000000001</v>
      </c>
      <c r="G436" s="1">
        <v>1.3409899999999999</v>
      </c>
      <c r="H436" s="1">
        <v>0.13912177163474801</v>
      </c>
      <c r="I436" s="1">
        <v>2.7740000000000001E-2</v>
      </c>
      <c r="J436" s="1">
        <v>141194796</v>
      </c>
      <c r="K436" s="1">
        <v>23416582</v>
      </c>
      <c r="L436">
        <v>844114617</v>
      </c>
      <c r="M436">
        <v>14017812</v>
      </c>
      <c r="N436">
        <v>109184523</v>
      </c>
      <c r="O436" s="1">
        <v>-832839</v>
      </c>
      <c r="P436">
        <v>442142278</v>
      </c>
      <c r="Q436">
        <v>92087950</v>
      </c>
      <c r="R436">
        <v>68671368</v>
      </c>
      <c r="S436">
        <v>75868834</v>
      </c>
      <c r="T436">
        <v>-3.0130000000000001E-2</v>
      </c>
      <c r="U436">
        <f t="shared" si="42"/>
        <v>0.49096842369118904</v>
      </c>
      <c r="V436">
        <f t="shared" si="43"/>
        <v>-1.3045696134699258</v>
      </c>
      <c r="W436">
        <f t="shared" si="44"/>
        <v>0.40870762338783195</v>
      </c>
      <c r="X436">
        <f t="shared" si="45"/>
        <v>1</v>
      </c>
      <c r="Y436">
        <f t="shared" si="46"/>
        <v>0</v>
      </c>
      <c r="Z436">
        <f t="shared" si="47"/>
        <v>0</v>
      </c>
      <c r="AA436">
        <f t="shared" si="48"/>
        <v>0</v>
      </c>
    </row>
    <row r="437" spans="1:27" x14ac:dyDescent="0.35">
      <c r="A437" s="1">
        <v>-3.3604786726407401</v>
      </c>
      <c r="B437" s="1">
        <v>-10.376510355772099</v>
      </c>
      <c r="C437" s="1">
        <v>-3.1428741466325003E-2</v>
      </c>
      <c r="D437" s="1">
        <v>193.20363</v>
      </c>
      <c r="E437" s="1">
        <v>58.543889999999998</v>
      </c>
      <c r="F437" s="1">
        <v>-2.4433500000000001</v>
      </c>
      <c r="G437" s="1">
        <v>2.1341999999999999</v>
      </c>
      <c r="H437" s="1">
        <v>0.145120060910441</v>
      </c>
      <c r="I437" s="1">
        <v>0.10614999999999999</v>
      </c>
      <c r="J437" s="1">
        <v>29791089</v>
      </c>
      <c r="K437" s="1">
        <v>90780477</v>
      </c>
      <c r="L437">
        <v>855222280</v>
      </c>
      <c r="M437">
        <v>-38615259</v>
      </c>
      <c r="N437">
        <v>123303937</v>
      </c>
      <c r="O437" s="1">
        <v>-28552927</v>
      </c>
      <c r="P437">
        <v>500680369</v>
      </c>
      <c r="Q437">
        <v>170819580</v>
      </c>
      <c r="R437">
        <v>80039103</v>
      </c>
      <c r="S437">
        <v>-26704010</v>
      </c>
      <c r="T437">
        <v>-3.1669999999999997E-2</v>
      </c>
      <c r="U437">
        <f t="shared" si="42"/>
        <v>-0.2472759878912173</v>
      </c>
      <c r="V437">
        <f t="shared" si="43"/>
        <v>-0.80422210496983038</v>
      </c>
      <c r="W437">
        <f t="shared" si="44"/>
        <v>0.12532199247428397</v>
      </c>
      <c r="X437">
        <f t="shared" si="45"/>
        <v>1</v>
      </c>
      <c r="Y437">
        <f t="shared" si="46"/>
        <v>0</v>
      </c>
      <c r="Z437">
        <f t="shared" si="47"/>
        <v>0</v>
      </c>
      <c r="AA437">
        <f t="shared" si="48"/>
        <v>0</v>
      </c>
    </row>
    <row r="438" spans="1:27" x14ac:dyDescent="0.35">
      <c r="A438" s="1">
        <v>17.212314486539199</v>
      </c>
      <c r="B438" s="1">
        <v>67.487764474522393</v>
      </c>
      <c r="C438" s="1">
        <v>0.237051441561311</v>
      </c>
      <c r="D438" s="1">
        <v>308.99982999999997</v>
      </c>
      <c r="E438" s="1">
        <v>65.736770000000007</v>
      </c>
      <c r="F438" s="1">
        <v>14.03215</v>
      </c>
      <c r="G438" s="1">
        <v>3.42462</v>
      </c>
      <c r="H438" s="1">
        <v>0.50542531656050405</v>
      </c>
      <c r="I438" s="1">
        <v>0.23205999999999999</v>
      </c>
      <c r="J438" s="1">
        <v>160167890</v>
      </c>
      <c r="K438" s="1">
        <v>224102189</v>
      </c>
      <c r="L438">
        <v>965702525</v>
      </c>
      <c r="M438">
        <v>201916864</v>
      </c>
      <c r="N438">
        <v>460170748</v>
      </c>
      <c r="O438" s="1">
        <v>156711652</v>
      </c>
      <c r="P438">
        <v>634821649</v>
      </c>
      <c r="Q438">
        <v>316529859</v>
      </c>
      <c r="R438">
        <v>92427670</v>
      </c>
      <c r="S438">
        <v>215826425</v>
      </c>
      <c r="T438">
        <v>8.4459999999999993E-2</v>
      </c>
      <c r="U438">
        <f t="shared" si="42"/>
        <v>2.5575795634210041</v>
      </c>
      <c r="V438">
        <f t="shared" si="43"/>
        <v>-1.2695537133705899</v>
      </c>
      <c r="W438">
        <f t="shared" si="44"/>
        <v>1.2032630782517626</v>
      </c>
      <c r="X438">
        <f t="shared" si="45"/>
        <v>0</v>
      </c>
      <c r="Y438">
        <f t="shared" si="46"/>
        <v>0</v>
      </c>
      <c r="Z438">
        <f t="shared" si="47"/>
        <v>0</v>
      </c>
      <c r="AA438">
        <f t="shared" si="48"/>
        <v>0</v>
      </c>
    </row>
    <row r="439" spans="1:27" x14ac:dyDescent="0.35">
      <c r="A439" s="1">
        <v>29.8126066881748</v>
      </c>
      <c r="B439" s="1">
        <v>90.190348446963995</v>
      </c>
      <c r="C439" s="1">
        <v>0.40909770107571602</v>
      </c>
      <c r="D439" s="1">
        <v>85.980540000000005</v>
      </c>
      <c r="E439" s="1">
        <v>38.044800000000002</v>
      </c>
      <c r="F439" s="1">
        <v>19.161850000000001</v>
      </c>
      <c r="G439" s="1">
        <v>3.28051</v>
      </c>
      <c r="H439" s="1">
        <v>0.80640327046181803</v>
      </c>
      <c r="I439" s="1">
        <v>0.34923999999999999</v>
      </c>
      <c r="J439" s="1">
        <v>479691758</v>
      </c>
      <c r="K439" s="1">
        <v>449339457</v>
      </c>
      <c r="L439">
        <v>1286624764</v>
      </c>
      <c r="M439">
        <v>437793072</v>
      </c>
      <c r="N439">
        <v>908142046</v>
      </c>
      <c r="O439" s="1">
        <v>335738738</v>
      </c>
      <c r="P439">
        <v>489493784</v>
      </c>
      <c r="Q439">
        <v>646374336</v>
      </c>
      <c r="R439">
        <v>197034879</v>
      </c>
      <c r="S439">
        <v>460710958</v>
      </c>
      <c r="T439">
        <v>0.32168000000000002</v>
      </c>
      <c r="U439">
        <f t="shared" si="42"/>
        <v>3.2078044348714094</v>
      </c>
      <c r="V439">
        <f t="shared" si="43"/>
        <v>-3.2925785581069849</v>
      </c>
      <c r="W439">
        <f t="shared" si="44"/>
        <v>1.8563140577309762</v>
      </c>
      <c r="X439">
        <f t="shared" si="45"/>
        <v>0</v>
      </c>
      <c r="Y439">
        <f t="shared" si="46"/>
        <v>0</v>
      </c>
      <c r="Z439">
        <f t="shared" si="47"/>
        <v>0</v>
      </c>
      <c r="AA439">
        <f t="shared" si="48"/>
        <v>0</v>
      </c>
    </row>
    <row r="440" spans="1:27" x14ac:dyDescent="0.35">
      <c r="A440" s="1">
        <v>29.5665043724131</v>
      </c>
      <c r="B440" s="1">
        <v>58.381209687472001</v>
      </c>
      <c r="C440" s="1">
        <v>0.38532016213655401</v>
      </c>
      <c r="D440" s="1">
        <v>40.82206</v>
      </c>
      <c r="E440" s="1">
        <v>24.99399</v>
      </c>
      <c r="F440" s="1">
        <v>19.018170000000001</v>
      </c>
      <c r="G440" s="1">
        <v>4.2171799999999999</v>
      </c>
      <c r="H440" s="1">
        <v>0.72833384257011002</v>
      </c>
      <c r="I440" s="1">
        <v>0.39801999999999998</v>
      </c>
      <c r="J440" s="1">
        <v>296585023</v>
      </c>
      <c r="K440" s="1">
        <v>674804075</v>
      </c>
      <c r="L440">
        <v>1695419616</v>
      </c>
      <c r="M440">
        <v>563427891</v>
      </c>
      <c r="N440">
        <v>1085961921</v>
      </c>
      <c r="O440" s="1">
        <v>440843141</v>
      </c>
      <c r="P440">
        <v>423753031</v>
      </c>
      <c r="Q440">
        <v>884554253</v>
      </c>
      <c r="R440">
        <v>209750178</v>
      </c>
      <c r="S440">
        <v>574520912</v>
      </c>
      <c r="T440">
        <v>0.50416000000000005</v>
      </c>
      <c r="U440">
        <f t="shared" si="42"/>
        <v>3.4793698156440485</v>
      </c>
      <c r="V440">
        <f t="shared" si="43"/>
        <v>-4.028564128575665</v>
      </c>
      <c r="W440">
        <f t="shared" si="44"/>
        <v>1.8713882313403645</v>
      </c>
      <c r="X440">
        <f t="shared" si="45"/>
        <v>0</v>
      </c>
      <c r="Y440">
        <f t="shared" si="46"/>
        <v>0</v>
      </c>
      <c r="Z440">
        <f t="shared" si="47"/>
        <v>0</v>
      </c>
      <c r="AA440">
        <f t="shared" si="48"/>
        <v>0</v>
      </c>
    </row>
    <row r="441" spans="1:27" x14ac:dyDescent="0.35">
      <c r="A441" s="1">
        <v>23.070721147393201</v>
      </c>
      <c r="B441" s="1">
        <v>36.576364996613798</v>
      </c>
      <c r="C441" s="1">
        <v>0.28633742702896298</v>
      </c>
      <c r="D441" s="1">
        <v>19.811689999999999</v>
      </c>
      <c r="E441" s="1">
        <v>14.35304</v>
      </c>
      <c r="F441" s="1">
        <v>48.655700000000003</v>
      </c>
      <c r="G441" s="1">
        <v>3.5820400000000001</v>
      </c>
      <c r="H441" s="1">
        <v>0.61245863919659804</v>
      </c>
      <c r="I441" s="1">
        <v>0.29298000000000002</v>
      </c>
      <c r="J441" s="1">
        <v>524147491</v>
      </c>
      <c r="K441" s="1">
        <v>607517375</v>
      </c>
      <c r="L441">
        <v>2073594757</v>
      </c>
      <c r="M441">
        <v>557502189</v>
      </c>
      <c r="N441">
        <v>1154182707</v>
      </c>
      <c r="O441" s="1">
        <v>434769398</v>
      </c>
      <c r="P441">
        <v>297623823</v>
      </c>
      <c r="Q441">
        <v>842803637</v>
      </c>
      <c r="R441">
        <v>235286262</v>
      </c>
      <c r="S441">
        <v>539604939</v>
      </c>
      <c r="T441">
        <v>0.62197999999999998</v>
      </c>
      <c r="U441">
        <f t="shared" si="42"/>
        <v>2.8871531816737241</v>
      </c>
      <c r="V441">
        <f t="shared" si="43"/>
        <v>-4.4110611139113471</v>
      </c>
      <c r="W441">
        <f t="shared" si="44"/>
        <v>1.4295802410842033</v>
      </c>
      <c r="X441">
        <f t="shared" si="45"/>
        <v>0</v>
      </c>
      <c r="Y441">
        <f t="shared" si="46"/>
        <v>0</v>
      </c>
      <c r="Z441">
        <f t="shared" si="47"/>
        <v>0</v>
      </c>
      <c r="AA441">
        <f t="shared" si="48"/>
        <v>0</v>
      </c>
    </row>
    <row r="442" spans="1:27" x14ac:dyDescent="0.35">
      <c r="A442" s="1">
        <v>10.6465208435636</v>
      </c>
      <c r="B442" s="1">
        <v>18.246061929980801</v>
      </c>
      <c r="C442" s="1">
        <v>0.13158892385645199</v>
      </c>
      <c r="D442" s="1">
        <v>41.605879999999999</v>
      </c>
      <c r="E442" s="1">
        <v>24.713789999999999</v>
      </c>
      <c r="F442" s="1">
        <v>2456.0977400000002</v>
      </c>
      <c r="G442" s="1">
        <v>1.59422</v>
      </c>
      <c r="H442" s="1">
        <v>0.39193286094234597</v>
      </c>
      <c r="I442" s="1">
        <v>8.7720000000000006E-2</v>
      </c>
      <c r="J442" s="1">
        <v>176949000</v>
      </c>
      <c r="K442" s="1">
        <v>253617000</v>
      </c>
      <c r="L442" s="1">
        <v>2891276000</v>
      </c>
      <c r="M442" s="1">
        <v>342136000</v>
      </c>
      <c r="N442" s="1">
        <v>972948000</v>
      </c>
      <c r="O442" s="1">
        <v>264293000</v>
      </c>
      <c r="P442" s="1">
        <v>714544000</v>
      </c>
      <c r="Q442" s="1">
        <v>680424000</v>
      </c>
      <c r="R442" s="1">
        <v>426807000</v>
      </c>
      <c r="S442" s="1">
        <v>326661000</v>
      </c>
      <c r="T442" s="1">
        <v>0.49802999999999997</v>
      </c>
      <c r="U442">
        <f t="shared" si="42"/>
        <v>1.100875346072389</v>
      </c>
      <c r="V442">
        <f t="shared" si="43"/>
        <v>-3.2962841274321217</v>
      </c>
      <c r="W442">
        <f t="shared" si="44"/>
        <v>0.5877866775776508</v>
      </c>
      <c r="X442">
        <f t="shared" si="45"/>
        <v>0</v>
      </c>
      <c r="Y442">
        <f t="shared" si="46"/>
        <v>0</v>
      </c>
      <c r="Z442">
        <f t="shared" si="47"/>
        <v>0</v>
      </c>
      <c r="AA442">
        <f t="shared" si="48"/>
        <v>0</v>
      </c>
    </row>
    <row r="443" spans="1:27" x14ac:dyDescent="0.35">
      <c r="A443" s="1" t="s">
        <v>3</v>
      </c>
      <c r="B443" s="1" t="s">
        <v>3</v>
      </c>
      <c r="C443" s="1" t="s">
        <v>3</v>
      </c>
      <c r="D443" s="1" t="s">
        <v>3</v>
      </c>
      <c r="E443" s="1" t="s">
        <v>3</v>
      </c>
      <c r="F443" s="1" t="s">
        <v>3</v>
      </c>
      <c r="G443" s="1" t="s">
        <v>3</v>
      </c>
      <c r="H443" s="1" t="s">
        <v>3</v>
      </c>
      <c r="I443" s="1" t="s">
        <v>3</v>
      </c>
      <c r="J443" s="1" t="s">
        <v>3</v>
      </c>
      <c r="K443" s="1" t="s">
        <v>3</v>
      </c>
      <c r="L443" s="1" t="s">
        <v>3</v>
      </c>
      <c r="M443" s="1" t="s">
        <v>3</v>
      </c>
      <c r="N443" s="1" t="s">
        <v>3</v>
      </c>
      <c r="O443" s="1" t="s">
        <v>3</v>
      </c>
      <c r="P443" s="1" t="s">
        <v>3</v>
      </c>
      <c r="Q443" s="1" t="s">
        <v>3</v>
      </c>
      <c r="R443" s="1" t="s">
        <v>3</v>
      </c>
      <c r="S443" s="1" t="s">
        <v>3</v>
      </c>
      <c r="T443" s="1" t="s">
        <v>3</v>
      </c>
      <c r="U443" t="e">
        <f t="shared" si="42"/>
        <v>#VALUE!</v>
      </c>
      <c r="V443" t="e">
        <f t="shared" si="43"/>
        <v>#VALUE!</v>
      </c>
      <c r="W443" t="e">
        <f t="shared" si="44"/>
        <v>#VALUE!</v>
      </c>
      <c r="X443" t="e">
        <f t="shared" si="45"/>
        <v>#VALUE!</v>
      </c>
      <c r="Y443" t="e">
        <f t="shared" si="46"/>
        <v>#VALUE!</v>
      </c>
      <c r="Z443" t="e">
        <f t="shared" si="47"/>
        <v>#VALUE!</v>
      </c>
      <c r="AA443" t="e">
        <f t="shared" si="48"/>
        <v>#VALUE!</v>
      </c>
    </row>
    <row r="444" spans="1:27" x14ac:dyDescent="0.35">
      <c r="A444" s="1" t="s">
        <v>3</v>
      </c>
      <c r="B444" s="1" t="s">
        <v>3</v>
      </c>
      <c r="C444" s="1" t="s">
        <v>3</v>
      </c>
      <c r="D444" s="1" t="s">
        <v>3</v>
      </c>
      <c r="E444" s="1" t="s">
        <v>3</v>
      </c>
      <c r="F444" s="1" t="s">
        <v>3</v>
      </c>
      <c r="G444" s="1" t="s">
        <v>3</v>
      </c>
      <c r="H444" s="1" t="s">
        <v>3</v>
      </c>
      <c r="I444" s="1" t="s">
        <v>3</v>
      </c>
      <c r="J444" s="1" t="s">
        <v>3</v>
      </c>
      <c r="K444" s="1" t="s">
        <v>3</v>
      </c>
      <c r="L444" s="1" t="s">
        <v>3</v>
      </c>
      <c r="M444" s="1" t="s">
        <v>3</v>
      </c>
      <c r="N444" s="1" t="s">
        <v>3</v>
      </c>
      <c r="O444" s="1" t="s">
        <v>3</v>
      </c>
      <c r="P444" s="1" t="s">
        <v>3</v>
      </c>
      <c r="Q444" s="1" t="s">
        <v>3</v>
      </c>
      <c r="R444" s="1" t="s">
        <v>3</v>
      </c>
      <c r="S444" s="1" t="s">
        <v>3</v>
      </c>
      <c r="T444" s="1" t="s">
        <v>3</v>
      </c>
      <c r="U444" t="e">
        <f t="shared" si="42"/>
        <v>#VALUE!</v>
      </c>
      <c r="V444" t="e">
        <f t="shared" si="43"/>
        <v>#VALUE!</v>
      </c>
      <c r="W444" t="e">
        <f t="shared" si="44"/>
        <v>#VALUE!</v>
      </c>
      <c r="X444" t="e">
        <f t="shared" si="45"/>
        <v>#VALUE!</v>
      </c>
      <c r="Y444" t="e">
        <f t="shared" si="46"/>
        <v>#VALUE!</v>
      </c>
      <c r="Z444" t="e">
        <f t="shared" si="47"/>
        <v>#VALUE!</v>
      </c>
      <c r="AA444" t="e">
        <f t="shared" si="48"/>
        <v>#VALUE!</v>
      </c>
    </row>
    <row r="445" spans="1:27" x14ac:dyDescent="0.35">
      <c r="A445" s="1" t="s">
        <v>3</v>
      </c>
      <c r="B445" s="1" t="s">
        <v>3</v>
      </c>
      <c r="C445" s="1" t="s">
        <v>3</v>
      </c>
      <c r="D445" s="1" t="s">
        <v>3</v>
      </c>
      <c r="E445" s="1" t="s">
        <v>3</v>
      </c>
      <c r="F445" s="1" t="s">
        <v>3</v>
      </c>
      <c r="G445" s="1" t="s">
        <v>3</v>
      </c>
      <c r="H445" s="1" t="s">
        <v>3</v>
      </c>
      <c r="I445" s="1" t="s">
        <v>3</v>
      </c>
      <c r="J445" s="1" t="s">
        <v>3</v>
      </c>
      <c r="K445" s="1" t="s">
        <v>3</v>
      </c>
      <c r="L445" s="1" t="s">
        <v>3</v>
      </c>
      <c r="M445" s="1" t="s">
        <v>3</v>
      </c>
      <c r="N445" s="1" t="s">
        <v>3</v>
      </c>
      <c r="O445" s="1" t="s">
        <v>3</v>
      </c>
      <c r="P445" s="1" t="s">
        <v>3</v>
      </c>
      <c r="Q445" s="1" t="s">
        <v>3</v>
      </c>
      <c r="R445" s="1" t="s">
        <v>3</v>
      </c>
      <c r="S445" s="1" t="s">
        <v>3</v>
      </c>
      <c r="T445" s="1" t="s">
        <v>3</v>
      </c>
      <c r="U445" t="e">
        <f t="shared" si="42"/>
        <v>#VALUE!</v>
      </c>
      <c r="V445" t="e">
        <f t="shared" si="43"/>
        <v>#VALUE!</v>
      </c>
      <c r="W445" t="e">
        <f t="shared" si="44"/>
        <v>#VALUE!</v>
      </c>
      <c r="X445" t="e">
        <f t="shared" si="45"/>
        <v>#VALUE!</v>
      </c>
      <c r="Y445" t="e">
        <f t="shared" si="46"/>
        <v>#VALUE!</v>
      </c>
      <c r="Z445" t="e">
        <f t="shared" si="47"/>
        <v>#VALUE!</v>
      </c>
      <c r="AA445" t="e">
        <f t="shared" si="48"/>
        <v>#VALUE!</v>
      </c>
    </row>
    <row r="446" spans="1:27" x14ac:dyDescent="0.35">
      <c r="A446" s="1" t="s">
        <v>3</v>
      </c>
      <c r="B446" s="1" t="s">
        <v>3</v>
      </c>
      <c r="C446" s="1" t="s">
        <v>3</v>
      </c>
      <c r="D446" s="1" t="s">
        <v>3</v>
      </c>
      <c r="E446" s="1" t="s">
        <v>3</v>
      </c>
      <c r="F446" s="1" t="s">
        <v>3</v>
      </c>
      <c r="G446" s="1" t="s">
        <v>3</v>
      </c>
      <c r="H446" s="1" t="s">
        <v>3</v>
      </c>
      <c r="I446" s="1" t="s">
        <v>3</v>
      </c>
      <c r="J446" s="1" t="s">
        <v>3</v>
      </c>
      <c r="K446" s="1" t="s">
        <v>3</v>
      </c>
      <c r="L446" s="1" t="s">
        <v>3</v>
      </c>
      <c r="M446" s="1" t="s">
        <v>3</v>
      </c>
      <c r="N446" s="1" t="s">
        <v>3</v>
      </c>
      <c r="O446" s="1" t="s">
        <v>3</v>
      </c>
      <c r="P446" s="1" t="s">
        <v>3</v>
      </c>
      <c r="Q446" s="1" t="s">
        <v>3</v>
      </c>
      <c r="R446" s="1" t="s">
        <v>3</v>
      </c>
      <c r="S446" s="1" t="s">
        <v>3</v>
      </c>
      <c r="T446" s="1" t="s">
        <v>3</v>
      </c>
      <c r="U446" t="e">
        <f t="shared" si="42"/>
        <v>#VALUE!</v>
      </c>
      <c r="V446" t="e">
        <f t="shared" si="43"/>
        <v>#VALUE!</v>
      </c>
      <c r="W446" t="e">
        <f t="shared" si="44"/>
        <v>#VALUE!</v>
      </c>
      <c r="X446" t="e">
        <f t="shared" si="45"/>
        <v>#VALUE!</v>
      </c>
      <c r="Y446" t="e">
        <f t="shared" si="46"/>
        <v>#VALUE!</v>
      </c>
      <c r="Z446" t="e">
        <f t="shared" si="47"/>
        <v>#VALUE!</v>
      </c>
      <c r="AA446" t="e">
        <f t="shared" si="48"/>
        <v>#VALUE!</v>
      </c>
    </row>
    <row r="447" spans="1:27" x14ac:dyDescent="0.35">
      <c r="A447" s="1" t="s">
        <v>3</v>
      </c>
      <c r="B447" s="1" t="s">
        <v>3</v>
      </c>
      <c r="C447" s="1" t="s">
        <v>3</v>
      </c>
      <c r="D447" s="1" t="s">
        <v>3</v>
      </c>
      <c r="E447" s="1" t="s">
        <v>3</v>
      </c>
      <c r="F447" s="1" t="s">
        <v>3</v>
      </c>
      <c r="G447" s="1" t="s">
        <v>3</v>
      </c>
      <c r="H447" s="1" t="s">
        <v>3</v>
      </c>
      <c r="I447" s="1" t="s">
        <v>3</v>
      </c>
      <c r="J447" s="1" t="s">
        <v>3</v>
      </c>
      <c r="K447" s="1" t="s">
        <v>3</v>
      </c>
      <c r="L447" s="1" t="s">
        <v>3</v>
      </c>
      <c r="M447" s="1" t="s">
        <v>3</v>
      </c>
      <c r="N447" s="1" t="s">
        <v>3</v>
      </c>
      <c r="O447" s="1" t="s">
        <v>3</v>
      </c>
      <c r="P447" s="1" t="s">
        <v>3</v>
      </c>
      <c r="Q447" s="1" t="s">
        <v>3</v>
      </c>
      <c r="R447" s="1" t="s">
        <v>3</v>
      </c>
      <c r="S447" s="1" t="s">
        <v>3</v>
      </c>
      <c r="T447" s="1" t="s">
        <v>3</v>
      </c>
      <c r="U447" t="e">
        <f t="shared" si="42"/>
        <v>#VALUE!</v>
      </c>
      <c r="V447" t="e">
        <f t="shared" si="43"/>
        <v>#VALUE!</v>
      </c>
      <c r="W447" t="e">
        <f t="shared" si="44"/>
        <v>#VALUE!</v>
      </c>
      <c r="X447" t="e">
        <f t="shared" si="45"/>
        <v>#VALUE!</v>
      </c>
      <c r="Y447" t="e">
        <f t="shared" si="46"/>
        <v>#VALUE!</v>
      </c>
      <c r="Z447" t="e">
        <f t="shared" si="47"/>
        <v>#VALUE!</v>
      </c>
      <c r="AA447" t="e">
        <f t="shared" si="48"/>
        <v>#VALUE!</v>
      </c>
    </row>
    <row r="448" spans="1:27" x14ac:dyDescent="0.35">
      <c r="A448" s="1" t="s">
        <v>3</v>
      </c>
      <c r="B448" s="1" t="s">
        <v>3</v>
      </c>
      <c r="C448" s="1" t="s">
        <v>3</v>
      </c>
      <c r="D448" s="1" t="s">
        <v>3</v>
      </c>
      <c r="E448" s="1" t="s">
        <v>3</v>
      </c>
      <c r="F448" s="1" t="s">
        <v>3</v>
      </c>
      <c r="G448" s="1" t="s">
        <v>3</v>
      </c>
      <c r="H448" s="1" t="s">
        <v>3</v>
      </c>
      <c r="I448" s="1" t="s">
        <v>3</v>
      </c>
      <c r="J448" s="1" t="s">
        <v>3</v>
      </c>
      <c r="K448" s="1" t="s">
        <v>3</v>
      </c>
      <c r="L448" s="1" t="s">
        <v>3</v>
      </c>
      <c r="M448" s="1" t="s">
        <v>3</v>
      </c>
      <c r="N448" s="1" t="s">
        <v>3</v>
      </c>
      <c r="O448" s="1" t="s">
        <v>3</v>
      </c>
      <c r="P448" s="1" t="s">
        <v>3</v>
      </c>
      <c r="Q448" s="1" t="s">
        <v>3</v>
      </c>
      <c r="R448" s="1" t="s">
        <v>3</v>
      </c>
      <c r="S448" s="1" t="s">
        <v>3</v>
      </c>
      <c r="T448" s="1" t="s">
        <v>3</v>
      </c>
      <c r="U448" t="e">
        <f t="shared" si="42"/>
        <v>#VALUE!</v>
      </c>
      <c r="V448" t="e">
        <f t="shared" si="43"/>
        <v>#VALUE!</v>
      </c>
      <c r="W448" t="e">
        <f t="shared" si="44"/>
        <v>#VALUE!</v>
      </c>
      <c r="X448" t="e">
        <f t="shared" si="45"/>
        <v>#VALUE!</v>
      </c>
      <c r="Y448" t="e">
        <f t="shared" si="46"/>
        <v>#VALUE!</v>
      </c>
      <c r="Z448" t="e">
        <f t="shared" si="47"/>
        <v>#VALUE!</v>
      </c>
      <c r="AA448" t="e">
        <f t="shared" si="48"/>
        <v>#VALUE!</v>
      </c>
    </row>
    <row r="449" spans="1:27" x14ac:dyDescent="0.35">
      <c r="A449" s="1" t="s">
        <v>3</v>
      </c>
      <c r="B449" s="1" t="s">
        <v>3</v>
      </c>
      <c r="C449" s="1" t="s">
        <v>3</v>
      </c>
      <c r="D449" s="1" t="s">
        <v>3</v>
      </c>
      <c r="E449" s="1" t="s">
        <v>3</v>
      </c>
      <c r="F449" s="1" t="s">
        <v>3</v>
      </c>
      <c r="G449" s="1" t="s">
        <v>3</v>
      </c>
      <c r="H449" s="1" t="s">
        <v>3</v>
      </c>
      <c r="I449" s="1" t="s">
        <v>3</v>
      </c>
      <c r="J449" s="1" t="s">
        <v>3</v>
      </c>
      <c r="K449" s="1" t="s">
        <v>3</v>
      </c>
      <c r="L449" s="1" t="s">
        <v>3</v>
      </c>
      <c r="M449" s="1" t="s">
        <v>3</v>
      </c>
      <c r="N449" s="1" t="s">
        <v>3</v>
      </c>
      <c r="O449" s="1" t="s">
        <v>3</v>
      </c>
      <c r="P449" s="1" t="s">
        <v>3</v>
      </c>
      <c r="Q449" s="1" t="s">
        <v>3</v>
      </c>
      <c r="R449" s="1" t="s">
        <v>3</v>
      </c>
      <c r="S449" s="1" t="s">
        <v>3</v>
      </c>
      <c r="T449" s="1" t="s">
        <v>3</v>
      </c>
      <c r="U449" t="e">
        <f t="shared" si="42"/>
        <v>#VALUE!</v>
      </c>
      <c r="V449" t="e">
        <f t="shared" si="43"/>
        <v>#VALUE!</v>
      </c>
      <c r="W449" t="e">
        <f t="shared" si="44"/>
        <v>#VALUE!</v>
      </c>
      <c r="X449" t="e">
        <f t="shared" si="45"/>
        <v>#VALUE!</v>
      </c>
      <c r="Y449" t="e">
        <f t="shared" si="46"/>
        <v>#VALUE!</v>
      </c>
      <c r="Z449" t="e">
        <f t="shared" si="47"/>
        <v>#VALUE!</v>
      </c>
      <c r="AA449" t="e">
        <f t="shared" si="48"/>
        <v>#VALUE!</v>
      </c>
    </row>
    <row r="450" spans="1:27" x14ac:dyDescent="0.35">
      <c r="A450" s="1" t="s">
        <v>3</v>
      </c>
      <c r="B450" s="1" t="s">
        <v>3</v>
      </c>
      <c r="C450" s="1" t="s">
        <v>3</v>
      </c>
      <c r="D450" s="1" t="s">
        <v>3</v>
      </c>
      <c r="E450" s="1" t="s">
        <v>3</v>
      </c>
      <c r="F450" s="1" t="s">
        <v>3</v>
      </c>
      <c r="G450" s="1" t="s">
        <v>3</v>
      </c>
      <c r="H450" s="1" t="s">
        <v>3</v>
      </c>
      <c r="I450" s="1" t="s">
        <v>3</v>
      </c>
      <c r="J450" s="1" t="s">
        <v>3</v>
      </c>
      <c r="K450" s="1" t="s">
        <v>3</v>
      </c>
      <c r="L450" s="1" t="s">
        <v>3</v>
      </c>
      <c r="M450" s="1" t="s">
        <v>3</v>
      </c>
      <c r="N450" s="1" t="s">
        <v>3</v>
      </c>
      <c r="O450" s="1" t="s">
        <v>3</v>
      </c>
      <c r="P450" s="1" t="s">
        <v>3</v>
      </c>
      <c r="Q450" s="1" t="s">
        <v>3</v>
      </c>
      <c r="R450" s="1" t="s">
        <v>3</v>
      </c>
      <c r="S450" s="1" t="s">
        <v>3</v>
      </c>
      <c r="T450" s="1" t="s">
        <v>3</v>
      </c>
      <c r="U450" t="e">
        <f t="shared" ref="U450:U513" si="49">1.03*(K450/L450) + 3.07*(S450/L450) + 0.66*(M450/R450) +0.4*(N450/L450)</f>
        <v>#VALUE!</v>
      </c>
      <c r="V450" t="e">
        <f t="shared" ref="V450:V513" si="50">-4.3-4.5*(O450/L450)+5.7*(P450/L450)+0.004*(Q450/R450)</f>
        <v>#VALUE!</v>
      </c>
      <c r="W450" t="e">
        <f t="shared" ref="W450:W513" si="51">0.057+1.65*(K450/L450)+3.404*(S450/L450)+0.016*(O450/L450)</f>
        <v>#VALUE!</v>
      </c>
      <c r="X450" t="e">
        <f t="shared" si="45"/>
        <v>#VALUE!</v>
      </c>
      <c r="Y450" t="e">
        <f t="shared" si="46"/>
        <v>#VALUE!</v>
      </c>
      <c r="Z450" t="e">
        <f t="shared" si="47"/>
        <v>#VALUE!</v>
      </c>
      <c r="AA450" t="e">
        <f t="shared" si="48"/>
        <v>#VALUE!</v>
      </c>
    </row>
    <row r="451" spans="1:27" x14ac:dyDescent="0.35">
      <c r="A451" s="1" t="s">
        <v>3</v>
      </c>
      <c r="B451" s="1" t="s">
        <v>3</v>
      </c>
      <c r="C451" s="1" t="s">
        <v>3</v>
      </c>
      <c r="D451" s="1" t="s">
        <v>3</v>
      </c>
      <c r="E451" s="1" t="s">
        <v>3</v>
      </c>
      <c r="F451" s="1" t="s">
        <v>3</v>
      </c>
      <c r="G451" s="1" t="s">
        <v>3</v>
      </c>
      <c r="H451" s="1" t="s">
        <v>3</v>
      </c>
      <c r="I451" s="1" t="s">
        <v>3</v>
      </c>
      <c r="J451" s="1" t="s">
        <v>3</v>
      </c>
      <c r="K451" s="1" t="s">
        <v>3</v>
      </c>
      <c r="L451" s="1" t="s">
        <v>3</v>
      </c>
      <c r="M451" s="1" t="s">
        <v>3</v>
      </c>
      <c r="N451" s="1" t="s">
        <v>3</v>
      </c>
      <c r="O451" s="1" t="s">
        <v>3</v>
      </c>
      <c r="P451" s="1" t="s">
        <v>3</v>
      </c>
      <c r="Q451" s="1" t="s">
        <v>3</v>
      </c>
      <c r="R451" s="1" t="s">
        <v>3</v>
      </c>
      <c r="S451" s="1" t="s">
        <v>3</v>
      </c>
      <c r="T451" s="1" t="s">
        <v>3</v>
      </c>
      <c r="U451" t="e">
        <f t="shared" si="49"/>
        <v>#VALUE!</v>
      </c>
      <c r="V451" t="e">
        <f t="shared" si="50"/>
        <v>#VALUE!</v>
      </c>
      <c r="W451" t="e">
        <f t="shared" si="51"/>
        <v>#VALUE!</v>
      </c>
      <c r="X451" t="e">
        <f t="shared" ref="X451:X514" si="52">IF(U451&gt;=0.862,0,1)</f>
        <v>#VALUE!</v>
      </c>
      <c r="Y451" t="e">
        <f t="shared" ref="Y451:Y514" si="53">IF(V451&lt;=0,0,1)</f>
        <v>#VALUE!</v>
      </c>
      <c r="Z451" t="e">
        <f t="shared" ref="Z451:Z514" si="54">IF(W451&gt;=0.01,0,1)</f>
        <v>#VALUE!</v>
      </c>
      <c r="AA451" t="e">
        <f t="shared" ref="AA451:AA514" si="55">IF(SUM(X451:Z451)&gt;=2,1,0)</f>
        <v>#VALUE!</v>
      </c>
    </row>
    <row r="452" spans="1:27" x14ac:dyDescent="0.35">
      <c r="A452" s="1" t="s">
        <v>3</v>
      </c>
      <c r="B452" s="1" t="s">
        <v>3</v>
      </c>
      <c r="C452" s="1" t="s">
        <v>3</v>
      </c>
      <c r="D452" s="1" t="s">
        <v>3</v>
      </c>
      <c r="E452" s="1" t="s">
        <v>3</v>
      </c>
      <c r="F452" s="1" t="s">
        <v>3</v>
      </c>
      <c r="G452" s="1" t="s">
        <v>3</v>
      </c>
      <c r="H452" s="1" t="s">
        <v>3</v>
      </c>
      <c r="I452" s="1" t="s">
        <v>3</v>
      </c>
      <c r="J452" s="1" t="s">
        <v>3</v>
      </c>
      <c r="K452" s="1" t="s">
        <v>3</v>
      </c>
      <c r="L452" s="1" t="s">
        <v>3</v>
      </c>
      <c r="M452" s="1" t="s">
        <v>3</v>
      </c>
      <c r="N452" s="1" t="s">
        <v>3</v>
      </c>
      <c r="O452" s="1" t="s">
        <v>3</v>
      </c>
      <c r="P452" s="1" t="s">
        <v>3</v>
      </c>
      <c r="Q452" s="1" t="s">
        <v>3</v>
      </c>
      <c r="R452" s="1" t="s">
        <v>3</v>
      </c>
      <c r="S452" s="1" t="s">
        <v>3</v>
      </c>
      <c r="T452" s="1" t="s">
        <v>3</v>
      </c>
      <c r="U452" t="e">
        <f t="shared" si="49"/>
        <v>#VALUE!</v>
      </c>
      <c r="V452" t="e">
        <f t="shared" si="50"/>
        <v>#VALUE!</v>
      </c>
      <c r="W452" t="e">
        <f t="shared" si="51"/>
        <v>#VALUE!</v>
      </c>
      <c r="X452" t="e">
        <f t="shared" si="52"/>
        <v>#VALUE!</v>
      </c>
      <c r="Y452" t="e">
        <f t="shared" si="53"/>
        <v>#VALUE!</v>
      </c>
      <c r="Z452" t="e">
        <f t="shared" si="54"/>
        <v>#VALUE!</v>
      </c>
      <c r="AA452" t="e">
        <f t="shared" si="55"/>
        <v>#VALUE!</v>
      </c>
    </row>
    <row r="453" spans="1:27" x14ac:dyDescent="0.35">
      <c r="A453" s="1" t="s">
        <v>3</v>
      </c>
      <c r="B453" s="1" t="s">
        <v>3</v>
      </c>
      <c r="C453" s="1" t="s">
        <v>3</v>
      </c>
      <c r="D453" s="1" t="s">
        <v>3</v>
      </c>
      <c r="E453" s="1" t="s">
        <v>3</v>
      </c>
      <c r="F453" s="1" t="s">
        <v>3</v>
      </c>
      <c r="G453" s="1" t="s">
        <v>3</v>
      </c>
      <c r="H453" s="1" t="s">
        <v>3</v>
      </c>
      <c r="I453" s="1" t="s">
        <v>3</v>
      </c>
      <c r="J453" s="1" t="s">
        <v>3</v>
      </c>
      <c r="K453" s="1" t="s">
        <v>3</v>
      </c>
      <c r="L453" s="1" t="s">
        <v>3</v>
      </c>
      <c r="M453" s="1" t="s">
        <v>3</v>
      </c>
      <c r="N453" s="1" t="s">
        <v>3</v>
      </c>
      <c r="O453" s="1" t="s">
        <v>3</v>
      </c>
      <c r="P453" s="1" t="s">
        <v>3</v>
      </c>
      <c r="Q453" s="1" t="s">
        <v>3</v>
      </c>
      <c r="R453" s="1" t="s">
        <v>3</v>
      </c>
      <c r="S453" s="1" t="s">
        <v>3</v>
      </c>
      <c r="T453" s="1" t="s">
        <v>3</v>
      </c>
      <c r="U453" t="e">
        <f t="shared" si="49"/>
        <v>#VALUE!</v>
      </c>
      <c r="V453" t="e">
        <f t="shared" si="50"/>
        <v>#VALUE!</v>
      </c>
      <c r="W453" t="e">
        <f t="shared" si="51"/>
        <v>#VALUE!</v>
      </c>
      <c r="X453" t="e">
        <f t="shared" si="52"/>
        <v>#VALUE!</v>
      </c>
      <c r="Y453" t="e">
        <f t="shared" si="53"/>
        <v>#VALUE!</v>
      </c>
      <c r="Z453" t="e">
        <f t="shared" si="54"/>
        <v>#VALUE!</v>
      </c>
      <c r="AA453" t="e">
        <f t="shared" si="55"/>
        <v>#VALUE!</v>
      </c>
    </row>
    <row r="454" spans="1:27" x14ac:dyDescent="0.35">
      <c r="A454" s="1" t="s">
        <v>3</v>
      </c>
      <c r="B454" s="1" t="s">
        <v>3</v>
      </c>
      <c r="C454" s="1" t="s">
        <v>3</v>
      </c>
      <c r="D454" s="1" t="s">
        <v>3</v>
      </c>
      <c r="E454" s="1" t="s">
        <v>3</v>
      </c>
      <c r="F454" s="1" t="s">
        <v>3</v>
      </c>
      <c r="G454" s="1" t="s">
        <v>3</v>
      </c>
      <c r="H454" s="1" t="s">
        <v>3</v>
      </c>
      <c r="I454" s="1" t="s">
        <v>3</v>
      </c>
      <c r="J454" s="1" t="s">
        <v>3</v>
      </c>
      <c r="K454" s="1" t="s">
        <v>3</v>
      </c>
      <c r="L454" s="1" t="s">
        <v>3</v>
      </c>
      <c r="M454" s="1" t="s">
        <v>3</v>
      </c>
      <c r="N454" s="1" t="s">
        <v>3</v>
      </c>
      <c r="O454" s="1" t="s">
        <v>3</v>
      </c>
      <c r="P454" s="1" t="s">
        <v>3</v>
      </c>
      <c r="Q454" s="1" t="s">
        <v>3</v>
      </c>
      <c r="R454" s="1" t="s">
        <v>3</v>
      </c>
      <c r="S454" s="1" t="s">
        <v>3</v>
      </c>
      <c r="T454" s="1" t="s">
        <v>3</v>
      </c>
      <c r="U454" t="e">
        <f t="shared" si="49"/>
        <v>#VALUE!</v>
      </c>
      <c r="V454" t="e">
        <f t="shared" si="50"/>
        <v>#VALUE!</v>
      </c>
      <c r="W454" t="e">
        <f t="shared" si="51"/>
        <v>#VALUE!</v>
      </c>
      <c r="X454" t="e">
        <f t="shared" si="52"/>
        <v>#VALUE!</v>
      </c>
      <c r="Y454" t="e">
        <f t="shared" si="53"/>
        <v>#VALUE!</v>
      </c>
      <c r="Z454" t="e">
        <f t="shared" si="54"/>
        <v>#VALUE!</v>
      </c>
      <c r="AA454" t="e">
        <f t="shared" si="55"/>
        <v>#VALUE!</v>
      </c>
    </row>
    <row r="455" spans="1:27" x14ac:dyDescent="0.35">
      <c r="A455" s="1" t="s">
        <v>3</v>
      </c>
      <c r="B455" s="1" t="s">
        <v>3</v>
      </c>
      <c r="C455" s="1" t="s">
        <v>3</v>
      </c>
      <c r="D455" s="1" t="s">
        <v>3</v>
      </c>
      <c r="E455" s="1" t="s">
        <v>3</v>
      </c>
      <c r="F455" s="1" t="s">
        <v>3</v>
      </c>
      <c r="G455" s="1" t="s">
        <v>3</v>
      </c>
      <c r="H455" s="1" t="s">
        <v>3</v>
      </c>
      <c r="I455" s="1" t="s">
        <v>3</v>
      </c>
      <c r="J455" s="1" t="s">
        <v>3</v>
      </c>
      <c r="K455" s="1" t="s">
        <v>3</v>
      </c>
      <c r="L455" s="1" t="s">
        <v>3</v>
      </c>
      <c r="M455" s="1" t="s">
        <v>3</v>
      </c>
      <c r="N455" s="1" t="s">
        <v>3</v>
      </c>
      <c r="O455" s="1" t="s">
        <v>3</v>
      </c>
      <c r="P455" s="1" t="s">
        <v>3</v>
      </c>
      <c r="Q455" s="1" t="s">
        <v>3</v>
      </c>
      <c r="R455" s="1" t="s">
        <v>3</v>
      </c>
      <c r="S455" s="1" t="s">
        <v>3</v>
      </c>
      <c r="T455" s="1" t="s">
        <v>3</v>
      </c>
      <c r="U455" t="e">
        <f t="shared" si="49"/>
        <v>#VALUE!</v>
      </c>
      <c r="V455" t="e">
        <f t="shared" si="50"/>
        <v>#VALUE!</v>
      </c>
      <c r="W455" t="e">
        <f t="shared" si="51"/>
        <v>#VALUE!</v>
      </c>
      <c r="X455" t="e">
        <f t="shared" si="52"/>
        <v>#VALUE!</v>
      </c>
      <c r="Y455" t="e">
        <f t="shared" si="53"/>
        <v>#VALUE!</v>
      </c>
      <c r="Z455" t="e">
        <f t="shared" si="54"/>
        <v>#VALUE!</v>
      </c>
      <c r="AA455" t="e">
        <f t="shared" si="55"/>
        <v>#VALUE!</v>
      </c>
    </row>
    <row r="456" spans="1:27" x14ac:dyDescent="0.35">
      <c r="A456" s="1" t="s">
        <v>3</v>
      </c>
      <c r="B456" s="1" t="s">
        <v>3</v>
      </c>
      <c r="C456" s="1" t="s">
        <v>3</v>
      </c>
      <c r="D456" s="1" t="s">
        <v>3</v>
      </c>
      <c r="E456" s="1" t="s">
        <v>3</v>
      </c>
      <c r="F456" s="1" t="s">
        <v>3</v>
      </c>
      <c r="G456" s="1" t="s">
        <v>3</v>
      </c>
      <c r="H456" s="1" t="s">
        <v>3</v>
      </c>
      <c r="I456" s="1" t="s">
        <v>3</v>
      </c>
      <c r="J456" s="1" t="s">
        <v>3</v>
      </c>
      <c r="K456" s="1" t="s">
        <v>3</v>
      </c>
      <c r="L456" s="1" t="s">
        <v>3</v>
      </c>
      <c r="M456" s="1" t="s">
        <v>3</v>
      </c>
      <c r="N456" s="1" t="s">
        <v>3</v>
      </c>
      <c r="O456" s="1" t="s">
        <v>3</v>
      </c>
      <c r="P456" s="1" t="s">
        <v>3</v>
      </c>
      <c r="Q456" s="1" t="s">
        <v>3</v>
      </c>
      <c r="R456" s="1" t="s">
        <v>3</v>
      </c>
      <c r="S456" s="1" t="s">
        <v>3</v>
      </c>
      <c r="T456" s="1" t="s">
        <v>3</v>
      </c>
      <c r="U456" t="e">
        <f t="shared" si="49"/>
        <v>#VALUE!</v>
      </c>
      <c r="V456" t="e">
        <f t="shared" si="50"/>
        <v>#VALUE!</v>
      </c>
      <c r="W456" t="e">
        <f t="shared" si="51"/>
        <v>#VALUE!</v>
      </c>
      <c r="X456" t="e">
        <f t="shared" si="52"/>
        <v>#VALUE!</v>
      </c>
      <c r="Y456" t="e">
        <f t="shared" si="53"/>
        <v>#VALUE!</v>
      </c>
      <c r="Z456" t="e">
        <f t="shared" si="54"/>
        <v>#VALUE!</v>
      </c>
      <c r="AA456" t="e">
        <f t="shared" si="55"/>
        <v>#VALUE!</v>
      </c>
    </row>
    <row r="457" spans="1:27" x14ac:dyDescent="0.35">
      <c r="A457" s="1" t="s">
        <v>3</v>
      </c>
      <c r="B457" s="1" t="s">
        <v>3</v>
      </c>
      <c r="C457" s="1" t="s">
        <v>3</v>
      </c>
      <c r="D457" s="1" t="s">
        <v>3</v>
      </c>
      <c r="E457" s="1" t="s">
        <v>3</v>
      </c>
      <c r="F457" s="1" t="s">
        <v>3</v>
      </c>
      <c r="G457" s="1" t="s">
        <v>3</v>
      </c>
      <c r="H457" s="1" t="s">
        <v>3</v>
      </c>
      <c r="I457" s="1" t="s">
        <v>3</v>
      </c>
      <c r="J457" s="1" t="s">
        <v>3</v>
      </c>
      <c r="K457" s="1" t="s">
        <v>3</v>
      </c>
      <c r="L457" s="1" t="s">
        <v>3</v>
      </c>
      <c r="M457" s="1" t="s">
        <v>3</v>
      </c>
      <c r="N457" s="1" t="s">
        <v>3</v>
      </c>
      <c r="O457" s="1" t="s">
        <v>3</v>
      </c>
      <c r="P457" s="1" t="s">
        <v>3</v>
      </c>
      <c r="Q457" s="1" t="s">
        <v>3</v>
      </c>
      <c r="R457" s="1" t="s">
        <v>3</v>
      </c>
      <c r="S457" s="1" t="s">
        <v>3</v>
      </c>
      <c r="T457" s="1" t="s">
        <v>3</v>
      </c>
      <c r="U457" t="e">
        <f t="shared" si="49"/>
        <v>#VALUE!</v>
      </c>
      <c r="V457" t="e">
        <f t="shared" si="50"/>
        <v>#VALUE!</v>
      </c>
      <c r="W457" t="e">
        <f t="shared" si="51"/>
        <v>#VALUE!</v>
      </c>
      <c r="X457" t="e">
        <f t="shared" si="52"/>
        <v>#VALUE!</v>
      </c>
      <c r="Y457" t="e">
        <f t="shared" si="53"/>
        <v>#VALUE!</v>
      </c>
      <c r="Z457" t="e">
        <f t="shared" si="54"/>
        <v>#VALUE!</v>
      </c>
      <c r="AA457" t="e">
        <f t="shared" si="55"/>
        <v>#VALUE!</v>
      </c>
    </row>
    <row r="458" spans="1:27" x14ac:dyDescent="0.35">
      <c r="A458" s="1" t="s">
        <v>3</v>
      </c>
      <c r="B458" s="1" t="s">
        <v>3</v>
      </c>
      <c r="C458" s="1" t="s">
        <v>3</v>
      </c>
      <c r="D458" s="1">
        <v>86.596590000000006</v>
      </c>
      <c r="E458" s="1">
        <v>39.216810000000002</v>
      </c>
      <c r="F458" s="1">
        <v>2.45303</v>
      </c>
      <c r="G458" s="1">
        <v>3.6255299999999999</v>
      </c>
      <c r="H458" s="1" t="s">
        <v>3</v>
      </c>
      <c r="I458" s="1">
        <v>0.17992</v>
      </c>
      <c r="J458" s="1">
        <v>-343163000</v>
      </c>
      <c r="K458" s="1">
        <v>856172000</v>
      </c>
      <c r="L458">
        <v>4758556000</v>
      </c>
      <c r="M458">
        <v>161173000</v>
      </c>
      <c r="N458">
        <v>1003106000</v>
      </c>
      <c r="O458" s="1">
        <v>116083000</v>
      </c>
      <c r="P458">
        <v>1866154000</v>
      </c>
      <c r="Q458">
        <v>1182267000</v>
      </c>
      <c r="R458">
        <v>326095000</v>
      </c>
      <c r="S458">
        <v>283919000</v>
      </c>
      <c r="T458">
        <v>0.16403000000000001</v>
      </c>
      <c r="U458">
        <f t="shared" si="49"/>
        <v>0.77901802793900687</v>
      </c>
      <c r="V458">
        <f t="shared" si="50"/>
        <v>-2.159915184742514</v>
      </c>
      <c r="W458">
        <f t="shared" si="51"/>
        <v>0.55736216953210171</v>
      </c>
      <c r="X458">
        <f t="shared" si="52"/>
        <v>1</v>
      </c>
      <c r="Y458">
        <f t="shared" si="53"/>
        <v>0</v>
      </c>
      <c r="Z458">
        <f t="shared" si="54"/>
        <v>0</v>
      </c>
      <c r="AA458">
        <f t="shared" si="55"/>
        <v>0</v>
      </c>
    </row>
    <row r="459" spans="1:27" x14ac:dyDescent="0.35">
      <c r="A459">
        <v>6.4369973354518804</v>
      </c>
      <c r="B459" s="1">
        <v>14.0900867108924</v>
      </c>
      <c r="C459">
        <v>0.115683931970753</v>
      </c>
      <c r="D459">
        <v>73.741690000000006</v>
      </c>
      <c r="E459">
        <v>35.357390000000002</v>
      </c>
      <c r="F459">
        <v>5.1482799999999997</v>
      </c>
      <c r="G459">
        <v>2.52868</v>
      </c>
      <c r="H459">
        <v>0.26081512103701998</v>
      </c>
      <c r="I459">
        <v>0.16053999999999999</v>
      </c>
      <c r="J459">
        <v>293628000</v>
      </c>
      <c r="K459" s="1">
        <v>835275000</v>
      </c>
      <c r="L459">
        <v>5202983000</v>
      </c>
      <c r="M459">
        <v>436580000</v>
      </c>
      <c r="N459">
        <v>1299060000</v>
      </c>
      <c r="O459" s="1">
        <v>320612000</v>
      </c>
      <c r="P459">
        <v>1839639000</v>
      </c>
      <c r="Q459">
        <v>1381679000</v>
      </c>
      <c r="R459">
        <v>546404000</v>
      </c>
      <c r="S459">
        <v>576195000</v>
      </c>
      <c r="T459">
        <v>0.21095</v>
      </c>
      <c r="U459">
        <f t="shared" si="49"/>
        <v>1.1325497491155374</v>
      </c>
      <c r="V459">
        <f t="shared" si="50"/>
        <v>-2.5518076754991443</v>
      </c>
      <c r="W459">
        <f t="shared" si="51"/>
        <v>0.69984302331950721</v>
      </c>
      <c r="X459">
        <f t="shared" si="52"/>
        <v>0</v>
      </c>
      <c r="Y459">
        <f t="shared" si="53"/>
        <v>0</v>
      </c>
      <c r="Z459">
        <f t="shared" si="54"/>
        <v>0</v>
      </c>
      <c r="AA459">
        <f t="shared" si="55"/>
        <v>0</v>
      </c>
    </row>
    <row r="460" spans="1:27" x14ac:dyDescent="0.35">
      <c r="A460">
        <v>18.779310305930402</v>
      </c>
      <c r="B460" s="1">
        <v>36.772517865637099</v>
      </c>
      <c r="C460">
        <v>0.26446191580850398</v>
      </c>
      <c r="D460">
        <v>49.878</v>
      </c>
      <c r="E460">
        <v>27.700530000000001</v>
      </c>
      <c r="F460">
        <v>11.652150000000001</v>
      </c>
      <c r="G460">
        <v>3.44678</v>
      </c>
      <c r="H460">
        <v>0.48370125232205002</v>
      </c>
      <c r="I460">
        <v>0.20549000000000001</v>
      </c>
      <c r="J460">
        <v>990517000</v>
      </c>
      <c r="K460" s="1">
        <v>1335467000</v>
      </c>
      <c r="L460">
        <v>6498959000</v>
      </c>
      <c r="M460">
        <v>1408047000</v>
      </c>
      <c r="N460">
        <v>2830122000</v>
      </c>
      <c r="O460" s="1">
        <v>1098772000</v>
      </c>
      <c r="P460">
        <v>1800246000</v>
      </c>
      <c r="Q460">
        <v>1881272000</v>
      </c>
      <c r="R460">
        <v>545805000</v>
      </c>
      <c r="S460">
        <v>1547359000</v>
      </c>
      <c r="T460">
        <v>0.33714</v>
      </c>
      <c r="U460">
        <f t="shared" si="49"/>
        <v>2.8194328478169508</v>
      </c>
      <c r="V460">
        <f t="shared" si="50"/>
        <v>-3.4680928846610994</v>
      </c>
      <c r="W460">
        <f t="shared" si="51"/>
        <v>1.2092323710612729</v>
      </c>
      <c r="X460">
        <f t="shared" si="52"/>
        <v>0</v>
      </c>
      <c r="Y460">
        <f t="shared" si="53"/>
        <v>0</v>
      </c>
      <c r="Z460">
        <f t="shared" si="54"/>
        <v>0</v>
      </c>
      <c r="AA460">
        <f t="shared" si="55"/>
        <v>0</v>
      </c>
    </row>
    <row r="461" spans="1:27" x14ac:dyDescent="0.35">
      <c r="A461">
        <v>5.9685642714304104</v>
      </c>
      <c r="B461" s="1">
        <v>6.2421785238697503</v>
      </c>
      <c r="C461">
        <v>0.1008907918255</v>
      </c>
      <c r="D461">
        <v>69.363429999999994</v>
      </c>
      <c r="E461">
        <v>35.345219999999998</v>
      </c>
      <c r="F461">
        <v>4.0485300000000004</v>
      </c>
      <c r="G461">
        <v>3.2867199999999999</v>
      </c>
      <c r="H461">
        <v>0.26075448005554203</v>
      </c>
      <c r="I461">
        <v>0.19459000000000001</v>
      </c>
      <c r="J461">
        <v>-121212000</v>
      </c>
      <c r="K461" s="1">
        <v>1770198000</v>
      </c>
      <c r="L461">
        <v>9097053000</v>
      </c>
      <c r="M461">
        <v>599071000</v>
      </c>
      <c r="N461">
        <v>2033365000</v>
      </c>
      <c r="O461" s="1">
        <v>465429000</v>
      </c>
      <c r="P461">
        <v>3215373000</v>
      </c>
      <c r="Q461">
        <v>2544318000</v>
      </c>
      <c r="R461">
        <v>774120000</v>
      </c>
      <c r="S461">
        <v>786747000</v>
      </c>
      <c r="T461">
        <v>0.26856999999999998</v>
      </c>
      <c r="U461">
        <f t="shared" si="49"/>
        <v>1.0660971888078405</v>
      </c>
      <c r="V461">
        <f t="shared" si="50"/>
        <v>-2.5024075738706246</v>
      </c>
      <c r="W461">
        <f t="shared" si="51"/>
        <v>0.6732831360881375</v>
      </c>
      <c r="X461">
        <f t="shared" si="52"/>
        <v>0</v>
      </c>
      <c r="Y461">
        <f t="shared" si="53"/>
        <v>0</v>
      </c>
      <c r="Z461">
        <f t="shared" si="54"/>
        <v>0</v>
      </c>
      <c r="AA461">
        <f t="shared" si="55"/>
        <v>0</v>
      </c>
    </row>
    <row r="462" spans="1:27" x14ac:dyDescent="0.35">
      <c r="A462">
        <v>7.0583233478617498</v>
      </c>
      <c r="B462" s="1">
        <v>13.1185869632272</v>
      </c>
      <c r="C462">
        <v>0.11903865862526899</v>
      </c>
      <c r="D462">
        <v>81.653000000000006</v>
      </c>
      <c r="E462">
        <v>38.533299999999997</v>
      </c>
      <c r="F462">
        <v>4.7499799999999999</v>
      </c>
      <c r="G462">
        <v>2.0168499999999998</v>
      </c>
      <c r="H462">
        <v>0.26348389826941498</v>
      </c>
      <c r="I462">
        <v>0.10574</v>
      </c>
      <c r="J462">
        <v>151697000</v>
      </c>
      <c r="K462" s="1">
        <v>1175949000</v>
      </c>
      <c r="L462">
        <v>11121488000</v>
      </c>
      <c r="M462">
        <v>924667000</v>
      </c>
      <c r="N462">
        <v>2663630000</v>
      </c>
      <c r="O462" s="1">
        <v>713545000</v>
      </c>
      <c r="P462">
        <v>4285476000</v>
      </c>
      <c r="Q462">
        <v>2332417000</v>
      </c>
      <c r="R462">
        <v>1156468000</v>
      </c>
      <c r="S462">
        <v>1203394000</v>
      </c>
      <c r="T462">
        <v>0.27694999999999997</v>
      </c>
      <c r="U462">
        <f t="shared" si="49"/>
        <v>1.0646079203824765</v>
      </c>
      <c r="V462">
        <f t="shared" si="50"/>
        <v>-2.3842507781990623</v>
      </c>
      <c r="W462">
        <f t="shared" si="51"/>
        <v>0.60081983292163776</v>
      </c>
      <c r="X462">
        <f t="shared" si="52"/>
        <v>0</v>
      </c>
      <c r="Y462">
        <f t="shared" si="53"/>
        <v>0</v>
      </c>
      <c r="Z462">
        <f t="shared" si="54"/>
        <v>0</v>
      </c>
      <c r="AA462">
        <f t="shared" si="55"/>
        <v>0</v>
      </c>
    </row>
    <row r="463" spans="1:27" x14ac:dyDescent="0.35">
      <c r="A463" s="1" t="s">
        <v>3</v>
      </c>
      <c r="B463" s="1" t="s">
        <v>3</v>
      </c>
      <c r="C463" s="1" t="s">
        <v>3</v>
      </c>
      <c r="D463" s="1" t="s">
        <v>3</v>
      </c>
      <c r="E463" s="1" t="s">
        <v>3</v>
      </c>
      <c r="F463" s="1" t="s">
        <v>3</v>
      </c>
      <c r="G463" s="1" t="s">
        <v>3</v>
      </c>
      <c r="H463" s="1" t="s">
        <v>3</v>
      </c>
      <c r="I463" s="1" t="s">
        <v>3</v>
      </c>
      <c r="J463" s="1" t="s">
        <v>3</v>
      </c>
      <c r="K463" s="1" t="s">
        <v>3</v>
      </c>
      <c r="L463" s="1" t="s">
        <v>3</v>
      </c>
      <c r="M463" s="1" t="s">
        <v>3</v>
      </c>
      <c r="N463" s="1" t="s">
        <v>3</v>
      </c>
      <c r="O463" s="1" t="s">
        <v>3</v>
      </c>
      <c r="P463" s="1" t="s">
        <v>3</v>
      </c>
      <c r="Q463" s="1" t="s">
        <v>3</v>
      </c>
      <c r="R463" s="1" t="s">
        <v>3</v>
      </c>
      <c r="S463" s="1" t="s">
        <v>3</v>
      </c>
      <c r="T463" s="1" t="s">
        <v>3</v>
      </c>
      <c r="U463" t="e">
        <f t="shared" si="49"/>
        <v>#VALUE!</v>
      </c>
      <c r="V463" t="e">
        <f t="shared" si="50"/>
        <v>#VALUE!</v>
      </c>
      <c r="W463" t="e">
        <f t="shared" si="51"/>
        <v>#VALUE!</v>
      </c>
      <c r="X463" t="e">
        <f t="shared" si="52"/>
        <v>#VALUE!</v>
      </c>
      <c r="Y463" t="e">
        <f t="shared" si="53"/>
        <v>#VALUE!</v>
      </c>
      <c r="Z463" t="e">
        <f t="shared" si="54"/>
        <v>#VALUE!</v>
      </c>
      <c r="AA463" t="e">
        <f t="shared" si="55"/>
        <v>#VALUE!</v>
      </c>
    </row>
    <row r="464" spans="1:27" x14ac:dyDescent="0.35">
      <c r="A464" s="1" t="s">
        <v>3</v>
      </c>
      <c r="B464" s="1" t="s">
        <v>3</v>
      </c>
      <c r="C464" s="1" t="s">
        <v>3</v>
      </c>
      <c r="D464" s="1" t="s">
        <v>3</v>
      </c>
      <c r="E464" s="1" t="s">
        <v>3</v>
      </c>
      <c r="F464" s="1" t="s">
        <v>3</v>
      </c>
      <c r="G464" s="1" t="s">
        <v>3</v>
      </c>
      <c r="H464" s="1" t="s">
        <v>3</v>
      </c>
      <c r="I464" s="1" t="s">
        <v>3</v>
      </c>
      <c r="J464" s="1" t="s">
        <v>3</v>
      </c>
      <c r="K464" s="1" t="s">
        <v>3</v>
      </c>
      <c r="L464" s="1" t="s">
        <v>3</v>
      </c>
      <c r="M464" s="1" t="s">
        <v>3</v>
      </c>
      <c r="N464" s="1" t="s">
        <v>3</v>
      </c>
      <c r="O464" s="1" t="s">
        <v>3</v>
      </c>
      <c r="P464" s="1" t="s">
        <v>3</v>
      </c>
      <c r="Q464" s="1" t="s">
        <v>3</v>
      </c>
      <c r="R464" s="1" t="s">
        <v>3</v>
      </c>
      <c r="S464" s="1" t="s">
        <v>3</v>
      </c>
      <c r="T464" s="1" t="s">
        <v>3</v>
      </c>
      <c r="U464" t="e">
        <f t="shared" si="49"/>
        <v>#VALUE!</v>
      </c>
      <c r="V464" t="e">
        <f t="shared" si="50"/>
        <v>#VALUE!</v>
      </c>
      <c r="W464" t="e">
        <f t="shared" si="51"/>
        <v>#VALUE!</v>
      </c>
      <c r="X464" t="e">
        <f t="shared" si="52"/>
        <v>#VALUE!</v>
      </c>
      <c r="Y464" t="e">
        <f t="shared" si="53"/>
        <v>#VALUE!</v>
      </c>
      <c r="Z464" t="e">
        <f t="shared" si="54"/>
        <v>#VALUE!</v>
      </c>
      <c r="AA464" t="e">
        <f t="shared" si="55"/>
        <v>#VALUE!</v>
      </c>
    </row>
    <row r="465" spans="1:27" x14ac:dyDescent="0.35">
      <c r="A465" s="1" t="s">
        <v>3</v>
      </c>
      <c r="B465" s="1" t="s">
        <v>3</v>
      </c>
      <c r="C465" s="1" t="s">
        <v>3</v>
      </c>
      <c r="D465" s="1" t="s">
        <v>3</v>
      </c>
      <c r="E465" s="1" t="s">
        <v>3</v>
      </c>
      <c r="F465" s="1" t="s">
        <v>3</v>
      </c>
      <c r="G465" s="1" t="s">
        <v>3</v>
      </c>
      <c r="H465" s="1" t="s">
        <v>3</v>
      </c>
      <c r="I465" s="1" t="s">
        <v>3</v>
      </c>
      <c r="J465" s="1" t="s">
        <v>3</v>
      </c>
      <c r="K465" s="1" t="s">
        <v>3</v>
      </c>
      <c r="L465" s="1" t="s">
        <v>3</v>
      </c>
      <c r="M465" s="1" t="s">
        <v>3</v>
      </c>
      <c r="N465" s="1" t="s">
        <v>3</v>
      </c>
      <c r="O465" s="1" t="s">
        <v>3</v>
      </c>
      <c r="P465" s="1" t="s">
        <v>3</v>
      </c>
      <c r="Q465" s="1" t="s">
        <v>3</v>
      </c>
      <c r="R465" s="1" t="s">
        <v>3</v>
      </c>
      <c r="S465" s="1" t="s">
        <v>3</v>
      </c>
      <c r="T465" s="1" t="s">
        <v>3</v>
      </c>
      <c r="U465" t="e">
        <f t="shared" si="49"/>
        <v>#VALUE!</v>
      </c>
      <c r="V465" t="e">
        <f t="shared" si="50"/>
        <v>#VALUE!</v>
      </c>
      <c r="W465" t="e">
        <f t="shared" si="51"/>
        <v>#VALUE!</v>
      </c>
      <c r="X465" t="e">
        <f t="shared" si="52"/>
        <v>#VALUE!</v>
      </c>
      <c r="Y465" t="e">
        <f t="shared" si="53"/>
        <v>#VALUE!</v>
      </c>
      <c r="Z465" t="e">
        <f t="shared" si="54"/>
        <v>#VALUE!</v>
      </c>
      <c r="AA465" t="e">
        <f t="shared" si="55"/>
        <v>#VALUE!</v>
      </c>
    </row>
    <row r="466" spans="1:27" x14ac:dyDescent="0.35">
      <c r="A466" s="1" t="s">
        <v>3</v>
      </c>
      <c r="B466" s="1" t="s">
        <v>3</v>
      </c>
      <c r="C466" s="1" t="s">
        <v>3</v>
      </c>
      <c r="D466" s="1" t="s">
        <v>3</v>
      </c>
      <c r="E466" s="1" t="s">
        <v>3</v>
      </c>
      <c r="F466" s="1" t="s">
        <v>3</v>
      </c>
      <c r="G466" s="1" t="s">
        <v>3</v>
      </c>
      <c r="H466" s="1" t="s">
        <v>3</v>
      </c>
      <c r="I466" s="1" t="s">
        <v>3</v>
      </c>
      <c r="J466" s="1" t="s">
        <v>3</v>
      </c>
      <c r="K466" s="1" t="s">
        <v>3</v>
      </c>
      <c r="L466" s="1" t="s">
        <v>3</v>
      </c>
      <c r="M466" s="1" t="s">
        <v>3</v>
      </c>
      <c r="N466" s="1" t="s">
        <v>3</v>
      </c>
      <c r="O466" s="1" t="s">
        <v>3</v>
      </c>
      <c r="P466" s="1" t="s">
        <v>3</v>
      </c>
      <c r="Q466" s="1" t="s">
        <v>3</v>
      </c>
      <c r="R466" s="1" t="s">
        <v>3</v>
      </c>
      <c r="S466" s="1" t="s">
        <v>3</v>
      </c>
      <c r="T466" s="1" t="s">
        <v>3</v>
      </c>
      <c r="U466" t="e">
        <f t="shared" si="49"/>
        <v>#VALUE!</v>
      </c>
      <c r="V466" t="e">
        <f t="shared" si="50"/>
        <v>#VALUE!</v>
      </c>
      <c r="W466" t="e">
        <f t="shared" si="51"/>
        <v>#VALUE!</v>
      </c>
      <c r="X466" t="e">
        <f t="shared" si="52"/>
        <v>#VALUE!</v>
      </c>
      <c r="Y466" t="e">
        <f t="shared" si="53"/>
        <v>#VALUE!</v>
      </c>
      <c r="Z466" t="e">
        <f t="shared" si="54"/>
        <v>#VALUE!</v>
      </c>
      <c r="AA466" t="e">
        <f t="shared" si="55"/>
        <v>#VALUE!</v>
      </c>
    </row>
    <row r="467" spans="1:27" x14ac:dyDescent="0.35">
      <c r="A467" s="1" t="s">
        <v>3</v>
      </c>
      <c r="B467" s="1" t="s">
        <v>3</v>
      </c>
      <c r="C467" s="1" t="s">
        <v>3</v>
      </c>
      <c r="D467" s="1" t="s">
        <v>3</v>
      </c>
      <c r="E467" s="1" t="s">
        <v>3</v>
      </c>
      <c r="F467" s="1" t="s">
        <v>3</v>
      </c>
      <c r="G467" s="1" t="s">
        <v>3</v>
      </c>
      <c r="H467" s="1" t="s">
        <v>3</v>
      </c>
      <c r="I467" s="1" t="s">
        <v>3</v>
      </c>
      <c r="J467" s="1" t="s">
        <v>3</v>
      </c>
      <c r="K467" s="1" t="s">
        <v>3</v>
      </c>
      <c r="L467" s="1" t="s">
        <v>3</v>
      </c>
      <c r="M467" s="1" t="s">
        <v>3</v>
      </c>
      <c r="N467" s="1" t="s">
        <v>3</v>
      </c>
      <c r="O467" s="1" t="s">
        <v>3</v>
      </c>
      <c r="P467" s="1" t="s">
        <v>3</v>
      </c>
      <c r="Q467" s="1" t="s">
        <v>3</v>
      </c>
      <c r="R467" s="1" t="s">
        <v>3</v>
      </c>
      <c r="S467" s="1" t="s">
        <v>3</v>
      </c>
      <c r="T467" s="1" t="s">
        <v>3</v>
      </c>
      <c r="U467" t="e">
        <f t="shared" si="49"/>
        <v>#VALUE!</v>
      </c>
      <c r="V467" t="e">
        <f t="shared" si="50"/>
        <v>#VALUE!</v>
      </c>
      <c r="W467" t="e">
        <f t="shared" si="51"/>
        <v>#VALUE!</v>
      </c>
      <c r="X467" t="e">
        <f t="shared" si="52"/>
        <v>#VALUE!</v>
      </c>
      <c r="Y467" t="e">
        <f t="shared" si="53"/>
        <v>#VALUE!</v>
      </c>
      <c r="Z467" t="e">
        <f t="shared" si="54"/>
        <v>#VALUE!</v>
      </c>
      <c r="AA467" t="e">
        <f t="shared" si="55"/>
        <v>#VALUE!</v>
      </c>
    </row>
    <row r="468" spans="1:27" x14ac:dyDescent="0.35">
      <c r="A468" s="1" t="s">
        <v>3</v>
      </c>
      <c r="B468" s="1" t="s">
        <v>3</v>
      </c>
      <c r="C468" s="1" t="s">
        <v>3</v>
      </c>
      <c r="D468" s="1" t="s">
        <v>3</v>
      </c>
      <c r="E468" s="1" t="s">
        <v>3</v>
      </c>
      <c r="F468" s="1" t="s">
        <v>3</v>
      </c>
      <c r="G468" s="1" t="s">
        <v>3</v>
      </c>
      <c r="H468" s="1" t="s">
        <v>3</v>
      </c>
      <c r="I468" s="1" t="s">
        <v>3</v>
      </c>
      <c r="J468" s="1" t="s">
        <v>3</v>
      </c>
      <c r="K468" s="1" t="s">
        <v>3</v>
      </c>
      <c r="L468" s="1" t="s">
        <v>3</v>
      </c>
      <c r="M468" s="1" t="s">
        <v>3</v>
      </c>
      <c r="N468" s="1" t="s">
        <v>3</v>
      </c>
      <c r="O468" s="1" t="s">
        <v>3</v>
      </c>
      <c r="P468" s="1" t="s">
        <v>3</v>
      </c>
      <c r="Q468" s="1" t="s">
        <v>3</v>
      </c>
      <c r="R468" s="1" t="s">
        <v>3</v>
      </c>
      <c r="S468" s="1" t="s">
        <v>3</v>
      </c>
      <c r="T468" s="1" t="s">
        <v>3</v>
      </c>
      <c r="U468" t="e">
        <f t="shared" si="49"/>
        <v>#VALUE!</v>
      </c>
      <c r="V468" t="e">
        <f t="shared" si="50"/>
        <v>#VALUE!</v>
      </c>
      <c r="W468" t="e">
        <f t="shared" si="51"/>
        <v>#VALUE!</v>
      </c>
      <c r="X468" t="e">
        <f t="shared" si="52"/>
        <v>#VALUE!</v>
      </c>
      <c r="Y468" t="e">
        <f t="shared" si="53"/>
        <v>#VALUE!</v>
      </c>
      <c r="Z468" t="e">
        <f t="shared" si="54"/>
        <v>#VALUE!</v>
      </c>
      <c r="AA468" t="e">
        <f t="shared" si="55"/>
        <v>#VALUE!</v>
      </c>
    </row>
    <row r="469" spans="1:27" x14ac:dyDescent="0.35">
      <c r="A469" s="1" t="s">
        <v>3</v>
      </c>
      <c r="B469" s="1" t="s">
        <v>3</v>
      </c>
      <c r="C469" s="1" t="s">
        <v>3</v>
      </c>
      <c r="D469" s="1" t="s">
        <v>3</v>
      </c>
      <c r="E469" s="1" t="s">
        <v>3</v>
      </c>
      <c r="F469" s="1" t="s">
        <v>3</v>
      </c>
      <c r="G469" s="1" t="s">
        <v>3</v>
      </c>
      <c r="H469" s="1" t="s">
        <v>3</v>
      </c>
      <c r="I469" s="1" t="s">
        <v>3</v>
      </c>
      <c r="J469" s="1" t="s">
        <v>3</v>
      </c>
      <c r="K469" s="1" t="s">
        <v>3</v>
      </c>
      <c r="L469" s="1" t="s">
        <v>3</v>
      </c>
      <c r="M469" s="1" t="s">
        <v>3</v>
      </c>
      <c r="N469" s="1" t="s">
        <v>3</v>
      </c>
      <c r="O469" s="1" t="s">
        <v>3</v>
      </c>
      <c r="P469" s="1" t="s">
        <v>3</v>
      </c>
      <c r="Q469" s="1" t="s">
        <v>3</v>
      </c>
      <c r="R469" s="1" t="s">
        <v>3</v>
      </c>
      <c r="S469" s="1" t="s">
        <v>3</v>
      </c>
      <c r="T469" s="1" t="s">
        <v>3</v>
      </c>
      <c r="U469" t="e">
        <f t="shared" si="49"/>
        <v>#VALUE!</v>
      </c>
      <c r="V469" t="e">
        <f t="shared" si="50"/>
        <v>#VALUE!</v>
      </c>
      <c r="W469" t="e">
        <f t="shared" si="51"/>
        <v>#VALUE!</v>
      </c>
      <c r="X469" t="e">
        <f t="shared" si="52"/>
        <v>#VALUE!</v>
      </c>
      <c r="Y469" t="e">
        <f t="shared" si="53"/>
        <v>#VALUE!</v>
      </c>
      <c r="Z469" t="e">
        <f t="shared" si="54"/>
        <v>#VALUE!</v>
      </c>
      <c r="AA469" t="e">
        <f t="shared" si="55"/>
        <v>#VALUE!</v>
      </c>
    </row>
    <row r="470" spans="1:27" x14ac:dyDescent="0.35">
      <c r="A470" s="1" t="s">
        <v>3</v>
      </c>
      <c r="B470" s="1" t="s">
        <v>3</v>
      </c>
      <c r="C470" s="1" t="s">
        <v>3</v>
      </c>
      <c r="D470" s="1" t="s">
        <v>3</v>
      </c>
      <c r="E470" s="1" t="s">
        <v>3</v>
      </c>
      <c r="F470" s="1" t="s">
        <v>3</v>
      </c>
      <c r="G470" s="1" t="s">
        <v>3</v>
      </c>
      <c r="H470" s="1" t="s">
        <v>3</v>
      </c>
      <c r="I470" s="1" t="s">
        <v>3</v>
      </c>
      <c r="J470" s="1" t="s">
        <v>3</v>
      </c>
      <c r="K470" s="1" t="s">
        <v>3</v>
      </c>
      <c r="L470" s="1" t="s">
        <v>3</v>
      </c>
      <c r="M470" s="1" t="s">
        <v>3</v>
      </c>
      <c r="N470" s="1" t="s">
        <v>3</v>
      </c>
      <c r="O470" s="1" t="s">
        <v>3</v>
      </c>
      <c r="P470" s="1" t="s">
        <v>3</v>
      </c>
      <c r="Q470" s="1" t="s">
        <v>3</v>
      </c>
      <c r="R470" s="1" t="s">
        <v>3</v>
      </c>
      <c r="S470" s="1" t="s">
        <v>3</v>
      </c>
      <c r="T470" s="1" t="s">
        <v>3</v>
      </c>
      <c r="U470" t="e">
        <f t="shared" si="49"/>
        <v>#VALUE!</v>
      </c>
      <c r="V470" t="e">
        <f t="shared" si="50"/>
        <v>#VALUE!</v>
      </c>
      <c r="W470" t="e">
        <f t="shared" si="51"/>
        <v>#VALUE!</v>
      </c>
      <c r="X470" t="e">
        <f t="shared" si="52"/>
        <v>#VALUE!</v>
      </c>
      <c r="Y470" t="e">
        <f t="shared" si="53"/>
        <v>#VALUE!</v>
      </c>
      <c r="Z470" t="e">
        <f t="shared" si="54"/>
        <v>#VALUE!</v>
      </c>
      <c r="AA470" t="e">
        <f t="shared" si="55"/>
        <v>#VALUE!</v>
      </c>
    </row>
    <row r="471" spans="1:27" x14ac:dyDescent="0.35">
      <c r="A471" s="1" t="s">
        <v>3</v>
      </c>
      <c r="B471" s="1" t="s">
        <v>3</v>
      </c>
      <c r="C471" s="1" t="s">
        <v>3</v>
      </c>
      <c r="D471" s="1" t="s">
        <v>3</v>
      </c>
      <c r="E471" s="1" t="s">
        <v>3</v>
      </c>
      <c r="F471" s="1" t="s">
        <v>3</v>
      </c>
      <c r="G471" s="1" t="s">
        <v>3</v>
      </c>
      <c r="H471" s="1" t="s">
        <v>3</v>
      </c>
      <c r="I471" s="1" t="s">
        <v>3</v>
      </c>
      <c r="J471" s="1" t="s">
        <v>3</v>
      </c>
      <c r="K471" s="1" t="s">
        <v>3</v>
      </c>
      <c r="L471" s="1" t="s">
        <v>3</v>
      </c>
      <c r="M471" s="1" t="s">
        <v>3</v>
      </c>
      <c r="N471" s="1" t="s">
        <v>3</v>
      </c>
      <c r="O471" s="1" t="s">
        <v>3</v>
      </c>
      <c r="P471" s="1" t="s">
        <v>3</v>
      </c>
      <c r="Q471" s="1" t="s">
        <v>3</v>
      </c>
      <c r="R471" s="1" t="s">
        <v>3</v>
      </c>
      <c r="S471" s="1" t="s">
        <v>3</v>
      </c>
      <c r="T471" s="1" t="s">
        <v>3</v>
      </c>
      <c r="U471" t="e">
        <f t="shared" si="49"/>
        <v>#VALUE!</v>
      </c>
      <c r="V471" t="e">
        <f t="shared" si="50"/>
        <v>#VALUE!</v>
      </c>
      <c r="W471" t="e">
        <f t="shared" si="51"/>
        <v>#VALUE!</v>
      </c>
      <c r="X471" t="e">
        <f t="shared" si="52"/>
        <v>#VALUE!</v>
      </c>
      <c r="Y471" t="e">
        <f t="shared" si="53"/>
        <v>#VALUE!</v>
      </c>
      <c r="Z471" t="e">
        <f t="shared" si="54"/>
        <v>#VALUE!</v>
      </c>
      <c r="AA471" t="e">
        <f t="shared" si="55"/>
        <v>#VALUE!</v>
      </c>
    </row>
    <row r="472" spans="1:27" x14ac:dyDescent="0.35">
      <c r="A472" s="1" t="s">
        <v>3</v>
      </c>
      <c r="B472" s="1" t="s">
        <v>3</v>
      </c>
      <c r="C472" s="1" t="s">
        <v>3</v>
      </c>
      <c r="D472" s="1" t="s">
        <v>3</v>
      </c>
      <c r="E472" s="1" t="s">
        <v>3</v>
      </c>
      <c r="F472" s="1" t="s">
        <v>3</v>
      </c>
      <c r="G472" s="1" t="s">
        <v>3</v>
      </c>
      <c r="H472" s="1" t="s">
        <v>3</v>
      </c>
      <c r="I472" s="1" t="s">
        <v>3</v>
      </c>
      <c r="J472" s="1" t="s">
        <v>3</v>
      </c>
      <c r="K472" s="1" t="s">
        <v>3</v>
      </c>
      <c r="L472" s="1" t="s">
        <v>3</v>
      </c>
      <c r="M472" s="1" t="s">
        <v>3</v>
      </c>
      <c r="N472" s="1" t="s">
        <v>3</v>
      </c>
      <c r="O472" s="1" t="s">
        <v>3</v>
      </c>
      <c r="P472" s="1" t="s">
        <v>3</v>
      </c>
      <c r="Q472" s="1" t="s">
        <v>3</v>
      </c>
      <c r="R472" s="1" t="s">
        <v>3</v>
      </c>
      <c r="S472" s="1" t="s">
        <v>3</v>
      </c>
      <c r="T472" s="1" t="s">
        <v>3</v>
      </c>
      <c r="U472" t="e">
        <f t="shared" si="49"/>
        <v>#VALUE!</v>
      </c>
      <c r="V472" t="e">
        <f t="shared" si="50"/>
        <v>#VALUE!</v>
      </c>
      <c r="W472" t="e">
        <f t="shared" si="51"/>
        <v>#VALUE!</v>
      </c>
      <c r="X472" t="e">
        <f t="shared" si="52"/>
        <v>#VALUE!</v>
      </c>
      <c r="Y472" t="e">
        <f t="shared" si="53"/>
        <v>#VALUE!</v>
      </c>
      <c r="Z472" t="e">
        <f t="shared" si="54"/>
        <v>#VALUE!</v>
      </c>
      <c r="AA472" t="e">
        <f t="shared" si="55"/>
        <v>#VALUE!</v>
      </c>
    </row>
    <row r="473" spans="1:27" x14ac:dyDescent="0.35">
      <c r="A473" s="1" t="s">
        <v>3</v>
      </c>
      <c r="B473" s="1" t="s">
        <v>3</v>
      </c>
      <c r="C473" s="1" t="s">
        <v>3</v>
      </c>
      <c r="D473" s="1" t="s">
        <v>3</v>
      </c>
      <c r="E473" s="1" t="s">
        <v>3</v>
      </c>
      <c r="F473" s="1" t="s">
        <v>3</v>
      </c>
      <c r="G473" s="1" t="s">
        <v>3</v>
      </c>
      <c r="H473" s="1" t="s">
        <v>3</v>
      </c>
      <c r="I473" s="1" t="s">
        <v>3</v>
      </c>
      <c r="J473" s="1" t="s">
        <v>3</v>
      </c>
      <c r="K473" s="1" t="s">
        <v>3</v>
      </c>
      <c r="L473" s="1" t="s">
        <v>3</v>
      </c>
      <c r="M473" s="1" t="s">
        <v>3</v>
      </c>
      <c r="N473" s="1" t="s">
        <v>3</v>
      </c>
      <c r="O473" s="1" t="s">
        <v>3</v>
      </c>
      <c r="P473" s="1" t="s">
        <v>3</v>
      </c>
      <c r="Q473" s="1" t="s">
        <v>3</v>
      </c>
      <c r="R473" s="1" t="s">
        <v>3</v>
      </c>
      <c r="S473" s="1" t="s">
        <v>3</v>
      </c>
      <c r="T473" s="1" t="s">
        <v>3</v>
      </c>
      <c r="U473" t="e">
        <f t="shared" si="49"/>
        <v>#VALUE!</v>
      </c>
      <c r="V473" t="e">
        <f t="shared" si="50"/>
        <v>#VALUE!</v>
      </c>
      <c r="W473" t="e">
        <f t="shared" si="51"/>
        <v>#VALUE!</v>
      </c>
      <c r="X473" t="e">
        <f t="shared" si="52"/>
        <v>#VALUE!</v>
      </c>
      <c r="Y473" t="e">
        <f t="shared" si="53"/>
        <v>#VALUE!</v>
      </c>
      <c r="Z473" t="e">
        <f t="shared" si="54"/>
        <v>#VALUE!</v>
      </c>
      <c r="AA473" t="e">
        <f t="shared" si="55"/>
        <v>#VALUE!</v>
      </c>
    </row>
    <row r="474" spans="1:27" x14ac:dyDescent="0.35">
      <c r="A474" s="1" t="s">
        <v>3</v>
      </c>
      <c r="B474" s="1" t="s">
        <v>3</v>
      </c>
      <c r="C474" s="1" t="s">
        <v>3</v>
      </c>
      <c r="D474" s="1" t="s">
        <v>3</v>
      </c>
      <c r="E474" s="1" t="s">
        <v>3</v>
      </c>
      <c r="F474" s="1" t="s">
        <v>3</v>
      </c>
      <c r="G474" s="1" t="s">
        <v>3</v>
      </c>
      <c r="H474" s="1" t="s">
        <v>3</v>
      </c>
      <c r="I474" s="1" t="s">
        <v>3</v>
      </c>
      <c r="J474" s="1" t="s">
        <v>3</v>
      </c>
      <c r="K474" s="1" t="s">
        <v>3</v>
      </c>
      <c r="L474" s="1" t="s">
        <v>3</v>
      </c>
      <c r="M474" s="1" t="s">
        <v>3</v>
      </c>
      <c r="N474" s="1" t="s">
        <v>3</v>
      </c>
      <c r="O474" s="1" t="s">
        <v>3</v>
      </c>
      <c r="P474" s="1" t="s">
        <v>3</v>
      </c>
      <c r="Q474" s="1" t="s">
        <v>3</v>
      </c>
      <c r="R474" s="1" t="s">
        <v>3</v>
      </c>
      <c r="S474" s="1" t="s">
        <v>3</v>
      </c>
      <c r="T474" s="1" t="s">
        <v>3</v>
      </c>
      <c r="U474" t="e">
        <f t="shared" si="49"/>
        <v>#VALUE!</v>
      </c>
      <c r="V474" t="e">
        <f t="shared" si="50"/>
        <v>#VALUE!</v>
      </c>
      <c r="W474" t="e">
        <f t="shared" si="51"/>
        <v>#VALUE!</v>
      </c>
      <c r="X474" t="e">
        <f t="shared" si="52"/>
        <v>#VALUE!</v>
      </c>
      <c r="Y474" t="e">
        <f t="shared" si="53"/>
        <v>#VALUE!</v>
      </c>
      <c r="Z474" t="e">
        <f t="shared" si="54"/>
        <v>#VALUE!</v>
      </c>
      <c r="AA474" t="e">
        <f t="shared" si="55"/>
        <v>#VALUE!</v>
      </c>
    </row>
    <row r="475" spans="1:27" x14ac:dyDescent="0.35">
      <c r="A475" s="1" t="s">
        <v>3</v>
      </c>
      <c r="B475" s="1" t="s">
        <v>3</v>
      </c>
      <c r="C475" s="1" t="s">
        <v>3</v>
      </c>
      <c r="D475" s="1" t="s">
        <v>3</v>
      </c>
      <c r="E475" s="1" t="s">
        <v>3</v>
      </c>
      <c r="F475" s="1" t="s">
        <v>3</v>
      </c>
      <c r="G475" s="1" t="s">
        <v>3</v>
      </c>
      <c r="H475" s="1" t="s">
        <v>3</v>
      </c>
      <c r="I475" s="1" t="s">
        <v>3</v>
      </c>
      <c r="J475" s="1" t="s">
        <v>3</v>
      </c>
      <c r="K475" s="1" t="s">
        <v>3</v>
      </c>
      <c r="L475" s="1" t="s">
        <v>3</v>
      </c>
      <c r="M475" s="1" t="s">
        <v>3</v>
      </c>
      <c r="N475" s="1" t="s">
        <v>3</v>
      </c>
      <c r="O475" s="1" t="s">
        <v>3</v>
      </c>
      <c r="P475" s="1" t="s">
        <v>3</v>
      </c>
      <c r="Q475" s="1" t="s">
        <v>3</v>
      </c>
      <c r="R475" s="1" t="s">
        <v>3</v>
      </c>
      <c r="S475" s="1" t="s">
        <v>3</v>
      </c>
      <c r="T475" s="1" t="s">
        <v>3</v>
      </c>
      <c r="U475" t="e">
        <f t="shared" si="49"/>
        <v>#VALUE!</v>
      </c>
      <c r="V475" t="e">
        <f t="shared" si="50"/>
        <v>#VALUE!</v>
      </c>
      <c r="W475" t="e">
        <f t="shared" si="51"/>
        <v>#VALUE!</v>
      </c>
      <c r="X475" t="e">
        <f t="shared" si="52"/>
        <v>#VALUE!</v>
      </c>
      <c r="Y475" t="e">
        <f t="shared" si="53"/>
        <v>#VALUE!</v>
      </c>
      <c r="Z475" t="e">
        <f t="shared" si="54"/>
        <v>#VALUE!</v>
      </c>
      <c r="AA475" t="e">
        <f t="shared" si="55"/>
        <v>#VALUE!</v>
      </c>
    </row>
    <row r="476" spans="1:27" x14ac:dyDescent="0.35">
      <c r="A476" s="1" t="s">
        <v>3</v>
      </c>
      <c r="B476" s="1" t="s">
        <v>3</v>
      </c>
      <c r="C476" s="1" t="s">
        <v>3</v>
      </c>
      <c r="D476" s="1" t="s">
        <v>3</v>
      </c>
      <c r="E476" s="1" t="s">
        <v>3</v>
      </c>
      <c r="F476" s="1" t="s">
        <v>3</v>
      </c>
      <c r="G476" s="1" t="s">
        <v>3</v>
      </c>
      <c r="H476" s="1" t="s">
        <v>3</v>
      </c>
      <c r="I476" s="1" t="s">
        <v>3</v>
      </c>
      <c r="J476" s="1" t="s">
        <v>3</v>
      </c>
      <c r="K476" s="1" t="s">
        <v>3</v>
      </c>
      <c r="L476" s="1" t="s">
        <v>3</v>
      </c>
      <c r="M476" s="1" t="s">
        <v>3</v>
      </c>
      <c r="N476" s="1" t="s">
        <v>3</v>
      </c>
      <c r="O476" s="1" t="s">
        <v>3</v>
      </c>
      <c r="P476" s="1" t="s">
        <v>3</v>
      </c>
      <c r="Q476" s="1" t="s">
        <v>3</v>
      </c>
      <c r="R476" s="1" t="s">
        <v>3</v>
      </c>
      <c r="S476" s="1" t="s">
        <v>3</v>
      </c>
      <c r="T476" s="1" t="s">
        <v>3</v>
      </c>
      <c r="U476" t="e">
        <f t="shared" si="49"/>
        <v>#VALUE!</v>
      </c>
      <c r="V476" t="e">
        <f t="shared" si="50"/>
        <v>#VALUE!</v>
      </c>
      <c r="W476" t="e">
        <f t="shared" si="51"/>
        <v>#VALUE!</v>
      </c>
      <c r="X476" t="e">
        <f t="shared" si="52"/>
        <v>#VALUE!</v>
      </c>
      <c r="Y476" t="e">
        <f t="shared" si="53"/>
        <v>#VALUE!</v>
      </c>
      <c r="Z476" t="e">
        <f t="shared" si="54"/>
        <v>#VALUE!</v>
      </c>
      <c r="AA476" t="e">
        <f t="shared" si="55"/>
        <v>#VALUE!</v>
      </c>
    </row>
    <row r="477" spans="1:27" x14ac:dyDescent="0.35">
      <c r="A477" s="1" t="s">
        <v>3</v>
      </c>
      <c r="B477" s="1" t="s">
        <v>3</v>
      </c>
      <c r="C477" s="1" t="s">
        <v>3</v>
      </c>
      <c r="D477" s="1" t="s">
        <v>3</v>
      </c>
      <c r="E477" s="1" t="s">
        <v>3</v>
      </c>
      <c r="F477" s="1">
        <v>84079.804529999994</v>
      </c>
      <c r="G477" s="1">
        <v>5.99742</v>
      </c>
      <c r="H477" s="1" t="s">
        <v>3</v>
      </c>
      <c r="I477" s="1">
        <v>0.55003999999999997</v>
      </c>
      <c r="J477" s="1">
        <v>736066271708</v>
      </c>
      <c r="K477" s="1">
        <v>2779142629823</v>
      </c>
      <c r="L477" s="1">
        <v>5052591216153</v>
      </c>
      <c r="M477" s="1">
        <v>1362397885638</v>
      </c>
      <c r="N477" s="1">
        <v>5122172072118</v>
      </c>
      <c r="O477" s="1">
        <v>1038022807788</v>
      </c>
      <c r="P477" s="1" t="s">
        <v>3</v>
      </c>
      <c r="Q477" s="1">
        <v>3335257972122</v>
      </c>
      <c r="R477" s="1">
        <v>556115342299</v>
      </c>
      <c r="S477" s="1">
        <v>1284815421396</v>
      </c>
      <c r="T477" s="1">
        <v>0.29494999999999999</v>
      </c>
      <c r="U477">
        <f t="shared" si="49"/>
        <v>3.3696177730018659</v>
      </c>
      <c r="V477" t="e">
        <f t="shared" si="50"/>
        <v>#VALUE!</v>
      </c>
      <c r="W477">
        <f t="shared" si="51"/>
        <v>1.83345588462994</v>
      </c>
      <c r="X477">
        <f t="shared" si="52"/>
        <v>0</v>
      </c>
      <c r="Y477" t="e">
        <f t="shared" si="53"/>
        <v>#VALUE!</v>
      </c>
      <c r="Z477">
        <f t="shared" si="54"/>
        <v>0</v>
      </c>
      <c r="AA477" t="e">
        <f t="shared" si="55"/>
        <v>#VALUE!</v>
      </c>
    </row>
    <row r="478" spans="1:27" x14ac:dyDescent="0.35">
      <c r="A478" s="1">
        <v>19.1873415257568</v>
      </c>
      <c r="B478" s="1">
        <v>22.235358400177901</v>
      </c>
      <c r="C478" s="1">
        <v>0.25258108776434002</v>
      </c>
      <c r="D478" s="1" t="s">
        <v>3</v>
      </c>
      <c r="E478" s="1" t="s">
        <v>3</v>
      </c>
      <c r="F478" s="1" t="s">
        <v>3</v>
      </c>
      <c r="G478" s="1">
        <v>4.8812199999999999</v>
      </c>
      <c r="H478" s="1">
        <v>1.1339439983217601</v>
      </c>
      <c r="I478" s="1">
        <v>0.49742999999999998</v>
      </c>
      <c r="J478" s="1">
        <v>946583696734</v>
      </c>
      <c r="K478" s="1">
        <v>2461022616785</v>
      </c>
      <c r="L478">
        <v>4947429090247</v>
      </c>
      <c r="M478" s="1">
        <v>1331358117436</v>
      </c>
      <c r="N478">
        <v>5669731504769</v>
      </c>
      <c r="O478" s="1">
        <v>959369024417</v>
      </c>
      <c r="P478" s="1" t="s">
        <v>3</v>
      </c>
      <c r="Q478" s="1">
        <v>3095107083674</v>
      </c>
      <c r="R478" s="1">
        <v>634084466889</v>
      </c>
      <c r="S478" s="1">
        <v>1262908003328</v>
      </c>
      <c r="T478" s="1">
        <v>0.25258000000000003</v>
      </c>
      <c r="U478">
        <f t="shared" si="49"/>
        <v>3.1401927705582522</v>
      </c>
      <c r="V478" t="e">
        <f t="shared" si="50"/>
        <v>#VALUE!</v>
      </c>
      <c r="W478">
        <f t="shared" si="51"/>
        <v>1.7497935524986601</v>
      </c>
      <c r="X478">
        <f t="shared" si="52"/>
        <v>0</v>
      </c>
      <c r="Y478" t="e">
        <f t="shared" si="53"/>
        <v>#VALUE!</v>
      </c>
      <c r="Z478">
        <f t="shared" si="54"/>
        <v>0</v>
      </c>
      <c r="AA478" t="e">
        <f t="shared" si="55"/>
        <v>#VALUE!</v>
      </c>
    </row>
    <row r="479" spans="1:27" x14ac:dyDescent="0.35">
      <c r="A479" s="1">
        <v>21.004157743030301</v>
      </c>
      <c r="B479" s="1">
        <v>25.520670364531</v>
      </c>
      <c r="C479" s="1">
        <v>0.26660380899708103</v>
      </c>
      <c r="D479" s="1">
        <v>2.1577799999999998</v>
      </c>
      <c r="E479" s="1">
        <v>1.7217800000000001</v>
      </c>
      <c r="F479" s="1">
        <v>148.14723000000001</v>
      </c>
      <c r="G479" s="1">
        <v>3.8349199999999999</v>
      </c>
      <c r="H479" s="1">
        <v>1.0595478892163801</v>
      </c>
      <c r="I479" s="1">
        <v>0.49378</v>
      </c>
      <c r="J479" s="1">
        <v>1802054287611</v>
      </c>
      <c r="K479" s="1">
        <v>2898922919275</v>
      </c>
      <c r="L479">
        <v>5870884534978</v>
      </c>
      <c r="M479">
        <v>1491044899867</v>
      </c>
      <c r="N479">
        <v>5731260683244</v>
      </c>
      <c r="O479" s="1">
        <v>1136147829489</v>
      </c>
      <c r="P479">
        <v>101083994570</v>
      </c>
      <c r="Q479">
        <v>3921500715724</v>
      </c>
      <c r="R479">
        <v>1022577796449</v>
      </c>
      <c r="S479">
        <v>1442101809705</v>
      </c>
      <c r="T479">
        <v>0.28714000000000001</v>
      </c>
      <c r="U479">
        <f t="shared" si="49"/>
        <v>2.6155447869703301</v>
      </c>
      <c r="V479">
        <f t="shared" si="50"/>
        <v>-5.057369528133516</v>
      </c>
      <c r="W479">
        <f t="shared" si="51"/>
        <v>1.710978320380607</v>
      </c>
      <c r="X479">
        <f t="shared" si="52"/>
        <v>0</v>
      </c>
      <c r="Y479">
        <f t="shared" si="53"/>
        <v>0</v>
      </c>
      <c r="Z479">
        <f t="shared" si="54"/>
        <v>0</v>
      </c>
      <c r="AA479">
        <f t="shared" si="55"/>
        <v>0</v>
      </c>
    </row>
    <row r="480" spans="1:27" x14ac:dyDescent="0.35">
      <c r="A480" s="1">
        <v>17.134447965509398</v>
      </c>
      <c r="B480" s="1">
        <v>20.3537181050866</v>
      </c>
      <c r="C480" s="1">
        <v>0.21138374570192001</v>
      </c>
      <c r="D480" s="1">
        <v>0.74429999999999996</v>
      </c>
      <c r="E480" s="1">
        <v>0.64449000000000001</v>
      </c>
      <c r="F480" s="1">
        <v>47.700319999999998</v>
      </c>
      <c r="G480" s="1">
        <v>6.6332500000000003</v>
      </c>
      <c r="H480" s="1">
        <v>0.809768548862705</v>
      </c>
      <c r="I480" s="1">
        <v>0.69403000000000004</v>
      </c>
      <c r="J480" s="1">
        <v>1234897000000</v>
      </c>
      <c r="K480" s="1">
        <v>7546757779646</v>
      </c>
      <c r="L480">
        <v>10873760236580</v>
      </c>
      <c r="M480">
        <v>1844704742711</v>
      </c>
      <c r="N480">
        <v>6779643348943</v>
      </c>
      <c r="O480" s="1">
        <v>1434551222696</v>
      </c>
      <c r="P480">
        <v>70080348893</v>
      </c>
      <c r="Q480">
        <v>8886438988796</v>
      </c>
      <c r="R480">
        <v>1339681209150</v>
      </c>
      <c r="S480">
        <v>1769772866130</v>
      </c>
      <c r="T480">
        <v>7.0849999999999996E-2</v>
      </c>
      <c r="U480">
        <f t="shared" si="49"/>
        <v>2.3727134316028877</v>
      </c>
      <c r="V480">
        <f t="shared" si="50"/>
        <v>-4.8304061293230998</v>
      </c>
      <c r="W480">
        <f t="shared" si="51"/>
        <v>1.7582891207636158</v>
      </c>
      <c r="X480">
        <f t="shared" si="52"/>
        <v>0</v>
      </c>
      <c r="Y480">
        <f t="shared" si="53"/>
        <v>0</v>
      </c>
      <c r="Z480">
        <f t="shared" si="54"/>
        <v>0</v>
      </c>
      <c r="AA480">
        <f t="shared" si="55"/>
        <v>0</v>
      </c>
    </row>
    <row r="481" spans="1:27" x14ac:dyDescent="0.35">
      <c r="A481" s="1">
        <v>12.9269141658646</v>
      </c>
      <c r="B481" s="1">
        <v>14.756498080301199</v>
      </c>
      <c r="C481" s="1">
        <v>0.13693621924109201</v>
      </c>
      <c r="D481" s="1">
        <v>0.84348000000000001</v>
      </c>
      <c r="E481" s="1">
        <v>0.74834000000000001</v>
      </c>
      <c r="F481" s="1">
        <v>229.52529999999999</v>
      </c>
      <c r="G481" s="1">
        <v>7.8659100000000004</v>
      </c>
      <c r="H481" s="1">
        <v>0.61794584932228303</v>
      </c>
      <c r="I481" s="1">
        <v>0.70501000000000003</v>
      </c>
      <c r="J481" s="1">
        <v>1455036000000</v>
      </c>
      <c r="K481" s="1">
        <v>7608552000000</v>
      </c>
      <c r="L481">
        <v>10792122000000</v>
      </c>
      <c r="M481">
        <v>1745247000000</v>
      </c>
      <c r="N481">
        <v>6694171000000</v>
      </c>
      <c r="O481" s="1">
        <v>1400365000000</v>
      </c>
      <c r="P481">
        <v>80762000000</v>
      </c>
      <c r="Q481">
        <v>8716715000000</v>
      </c>
      <c r="R481">
        <v>1108163000000</v>
      </c>
      <c r="S481">
        <v>1483422000000</v>
      </c>
      <c r="T481">
        <v>9.783E-2</v>
      </c>
      <c r="U481">
        <f t="shared" si="49"/>
        <v>2.4356922626857189</v>
      </c>
      <c r="V481">
        <f t="shared" si="50"/>
        <v>-4.8097921873262495</v>
      </c>
      <c r="W481">
        <f t="shared" si="51"/>
        <v>1.6902362743860753</v>
      </c>
      <c r="X481">
        <f t="shared" si="52"/>
        <v>0</v>
      </c>
      <c r="Y481">
        <f t="shared" si="53"/>
        <v>0</v>
      </c>
      <c r="Z481">
        <f t="shared" si="54"/>
        <v>0</v>
      </c>
      <c r="AA481">
        <f t="shared" si="55"/>
        <v>0</v>
      </c>
    </row>
    <row r="482" spans="1:27" x14ac:dyDescent="0.35">
      <c r="A482" s="1">
        <v>14.9650516330148</v>
      </c>
      <c r="B482" s="1">
        <v>16.856150022636001</v>
      </c>
      <c r="C482" s="1">
        <v>0.156382392382132</v>
      </c>
      <c r="D482" s="1">
        <v>0.32164999999999999</v>
      </c>
      <c r="E482" s="1">
        <v>0.28577000000000002</v>
      </c>
      <c r="F482" s="1">
        <v>421.14519999999999</v>
      </c>
      <c r="G482" s="1">
        <v>7.5828199999999999</v>
      </c>
      <c r="H482" s="1">
        <v>0.63908622157665895</v>
      </c>
      <c r="I482" s="1">
        <v>0.69272999999999996</v>
      </c>
      <c r="J482" s="1">
        <v>1636757000000</v>
      </c>
      <c r="K482" s="1">
        <v>7735672000000</v>
      </c>
      <c r="L482">
        <v>11166987000000</v>
      </c>
      <c r="M482">
        <v>1992143000000</v>
      </c>
      <c r="N482">
        <v>7016882000000</v>
      </c>
      <c r="O482" s="1">
        <v>1643096000000</v>
      </c>
      <c r="P482">
        <v>31912000000</v>
      </c>
      <c r="Q482">
        <v>8910802000000</v>
      </c>
      <c r="R482">
        <v>1175130000000</v>
      </c>
      <c r="S482">
        <v>1717009000000</v>
      </c>
      <c r="T482">
        <v>0.11955</v>
      </c>
      <c r="U482">
        <f t="shared" si="49"/>
        <v>2.55575543842254</v>
      </c>
      <c r="V482">
        <f t="shared" si="50"/>
        <v>-4.9155039391240605</v>
      </c>
      <c r="W482">
        <f t="shared" si="51"/>
        <v>1.7257443956010694</v>
      </c>
      <c r="X482">
        <f t="shared" si="52"/>
        <v>0</v>
      </c>
      <c r="Y482">
        <f t="shared" si="53"/>
        <v>0</v>
      </c>
      <c r="Z482">
        <f t="shared" si="54"/>
        <v>0</v>
      </c>
      <c r="AA482">
        <f t="shared" si="55"/>
        <v>0</v>
      </c>
    </row>
    <row r="483" spans="1:27" x14ac:dyDescent="0.35">
      <c r="A483" s="1">
        <v>14.9694245473337</v>
      </c>
      <c r="B483" s="1">
        <v>17.0354292990293</v>
      </c>
      <c r="C483" s="1">
        <v>0.15917698617624099</v>
      </c>
      <c r="D483" s="1">
        <v>0.96950999999999998</v>
      </c>
      <c r="E483" s="1">
        <v>0.84424999999999994</v>
      </c>
      <c r="F483" s="1">
        <v>696.76643999999999</v>
      </c>
      <c r="G483" s="1">
        <v>6.2839999999999998</v>
      </c>
      <c r="H483" s="1">
        <v>0.67224840495948301</v>
      </c>
      <c r="I483" s="1">
        <v>0.64566999999999997</v>
      </c>
      <c r="J483" s="1">
        <v>1763589000000</v>
      </c>
      <c r="K483" s="1">
        <v>7141777000000</v>
      </c>
      <c r="L483">
        <v>11060975000000</v>
      </c>
      <c r="M483">
        <v>2068594000000</v>
      </c>
      <c r="N483">
        <v>7471356000000</v>
      </c>
      <c r="O483" s="1">
        <v>1663699000000</v>
      </c>
      <c r="P483">
        <v>93382000000</v>
      </c>
      <c r="Q483">
        <v>8493362000000</v>
      </c>
      <c r="R483">
        <v>1351585000000</v>
      </c>
      <c r="S483">
        <v>1769090000000</v>
      </c>
      <c r="T483">
        <v>0.14928</v>
      </c>
      <c r="U483">
        <f t="shared" si="49"/>
        <v>2.436373351239117</v>
      </c>
      <c r="V483">
        <f t="shared" si="50"/>
        <v>-4.9035941109633843</v>
      </c>
      <c r="W483">
        <f t="shared" si="51"/>
        <v>1.6692026850255062</v>
      </c>
      <c r="X483">
        <f t="shared" si="52"/>
        <v>0</v>
      </c>
      <c r="Y483">
        <f t="shared" si="53"/>
        <v>0</v>
      </c>
      <c r="Z483">
        <f t="shared" si="54"/>
        <v>0</v>
      </c>
      <c r="AA483">
        <f t="shared" si="55"/>
        <v>0</v>
      </c>
    </row>
    <row r="484" spans="1:27" x14ac:dyDescent="0.35">
      <c r="A484">
        <v>15.7506626446342</v>
      </c>
      <c r="B484" s="1">
        <v>18.2382805149246</v>
      </c>
      <c r="C484">
        <v>0.17359803776449001</v>
      </c>
      <c r="D484">
        <v>0.90363000000000004</v>
      </c>
      <c r="E484">
        <v>0.77773999999999999</v>
      </c>
      <c r="F484">
        <v>760.96397000000002</v>
      </c>
      <c r="G484">
        <v>5.3669599999999997</v>
      </c>
      <c r="H484">
        <v>0.73366946403295197</v>
      </c>
      <c r="I484">
        <v>0.57418000000000002</v>
      </c>
      <c r="J484">
        <v>1750989000000</v>
      </c>
      <c r="K484">
        <v>6364436000000</v>
      </c>
      <c r="L484">
        <v>11084379000000</v>
      </c>
      <c r="M484">
        <v>2175816000000</v>
      </c>
      <c r="N484">
        <v>8123685000000</v>
      </c>
      <c r="O484">
        <v>1744020000000</v>
      </c>
      <c r="P484">
        <v>86208000000</v>
      </c>
      <c r="Q484">
        <v>7821844000000</v>
      </c>
      <c r="R484">
        <v>1457408000000</v>
      </c>
      <c r="S484">
        <v>1922195000000</v>
      </c>
      <c r="T484">
        <v>0.18753</v>
      </c>
      <c r="U484">
        <f t="shared" si="49"/>
        <v>2.4022847412841566</v>
      </c>
      <c r="V484">
        <f t="shared" si="50"/>
        <v>-4.9422323633139653</v>
      </c>
      <c r="W484">
        <f t="shared" si="51"/>
        <v>1.5972193934364745</v>
      </c>
      <c r="X484">
        <f t="shared" si="52"/>
        <v>0</v>
      </c>
      <c r="Y484">
        <f t="shared" si="53"/>
        <v>0</v>
      </c>
      <c r="Z484">
        <f t="shared" si="54"/>
        <v>0</v>
      </c>
      <c r="AA484">
        <f t="shared" si="55"/>
        <v>0</v>
      </c>
    </row>
    <row r="485" spans="1:27" x14ac:dyDescent="0.35">
      <c r="A485" s="1" t="s">
        <v>3</v>
      </c>
      <c r="B485" s="1" t="s">
        <v>3</v>
      </c>
      <c r="C485" s="1" t="s">
        <v>3</v>
      </c>
      <c r="D485" s="1" t="s">
        <v>3</v>
      </c>
      <c r="E485" s="1" t="s">
        <v>3</v>
      </c>
      <c r="F485" s="1" t="s">
        <v>3</v>
      </c>
      <c r="G485" s="1" t="s">
        <v>3</v>
      </c>
      <c r="H485" s="1" t="s">
        <v>3</v>
      </c>
      <c r="I485" s="1" t="s">
        <v>3</v>
      </c>
      <c r="J485" s="1" t="s">
        <v>3</v>
      </c>
      <c r="K485" s="1" t="s">
        <v>3</v>
      </c>
      <c r="L485" s="1" t="s">
        <v>3</v>
      </c>
      <c r="M485" s="1" t="s">
        <v>3</v>
      </c>
      <c r="N485" s="1" t="s">
        <v>3</v>
      </c>
      <c r="O485" s="1" t="s">
        <v>3</v>
      </c>
      <c r="P485" s="1" t="s">
        <v>3</v>
      </c>
      <c r="Q485" s="1" t="s">
        <v>3</v>
      </c>
      <c r="R485" s="1" t="s">
        <v>3</v>
      </c>
      <c r="S485" s="1" t="s">
        <v>3</v>
      </c>
      <c r="T485" s="1" t="s">
        <v>3</v>
      </c>
      <c r="U485" t="e">
        <f t="shared" si="49"/>
        <v>#VALUE!</v>
      </c>
      <c r="V485" t="e">
        <f t="shared" si="50"/>
        <v>#VALUE!</v>
      </c>
      <c r="W485" t="e">
        <f t="shared" si="51"/>
        <v>#VALUE!</v>
      </c>
      <c r="X485" t="e">
        <f t="shared" si="52"/>
        <v>#VALUE!</v>
      </c>
      <c r="Y485" t="e">
        <f t="shared" si="53"/>
        <v>#VALUE!</v>
      </c>
      <c r="Z485" t="e">
        <f t="shared" si="54"/>
        <v>#VALUE!</v>
      </c>
      <c r="AA485" t="e">
        <f t="shared" si="55"/>
        <v>#VALUE!</v>
      </c>
    </row>
    <row r="486" spans="1:27" x14ac:dyDescent="0.35">
      <c r="A486" s="1" t="s">
        <v>3</v>
      </c>
      <c r="B486" s="1" t="s">
        <v>3</v>
      </c>
      <c r="C486" s="1" t="s">
        <v>3</v>
      </c>
      <c r="D486" s="1" t="s">
        <v>3</v>
      </c>
      <c r="E486" s="1" t="s">
        <v>3</v>
      </c>
      <c r="F486" s="1" t="s">
        <v>3</v>
      </c>
      <c r="G486" s="1" t="s">
        <v>3</v>
      </c>
      <c r="H486" s="1" t="s">
        <v>3</v>
      </c>
      <c r="I486" s="1" t="s">
        <v>3</v>
      </c>
      <c r="J486" s="1" t="s">
        <v>3</v>
      </c>
      <c r="K486" s="1" t="s">
        <v>3</v>
      </c>
      <c r="L486" s="1" t="s">
        <v>3</v>
      </c>
      <c r="M486" s="1" t="s">
        <v>3</v>
      </c>
      <c r="N486" s="1" t="s">
        <v>3</v>
      </c>
      <c r="O486" s="1" t="s">
        <v>3</v>
      </c>
      <c r="P486" s="1" t="s">
        <v>3</v>
      </c>
      <c r="Q486" s="1" t="s">
        <v>3</v>
      </c>
      <c r="R486" s="1" t="s">
        <v>3</v>
      </c>
      <c r="S486" s="1" t="s">
        <v>3</v>
      </c>
      <c r="T486" s="1" t="s">
        <v>3</v>
      </c>
      <c r="U486" t="e">
        <f t="shared" si="49"/>
        <v>#VALUE!</v>
      </c>
      <c r="V486" t="e">
        <f t="shared" si="50"/>
        <v>#VALUE!</v>
      </c>
      <c r="W486" t="e">
        <f t="shared" si="51"/>
        <v>#VALUE!</v>
      </c>
      <c r="X486" t="e">
        <f t="shared" si="52"/>
        <v>#VALUE!</v>
      </c>
      <c r="Y486" t="e">
        <f t="shared" si="53"/>
        <v>#VALUE!</v>
      </c>
      <c r="Z486" t="e">
        <f t="shared" si="54"/>
        <v>#VALUE!</v>
      </c>
      <c r="AA486" t="e">
        <f t="shared" si="55"/>
        <v>#VALUE!</v>
      </c>
    </row>
    <row r="487" spans="1:27" x14ac:dyDescent="0.35">
      <c r="A487" s="1" t="s">
        <v>3</v>
      </c>
      <c r="B487" s="1" t="s">
        <v>3</v>
      </c>
      <c r="C487" s="1" t="s">
        <v>3</v>
      </c>
      <c r="D487" s="1" t="s">
        <v>3</v>
      </c>
      <c r="E487" s="1" t="s">
        <v>3</v>
      </c>
      <c r="F487" s="1" t="s">
        <v>3</v>
      </c>
      <c r="G487" s="1" t="s">
        <v>3</v>
      </c>
      <c r="H487" s="1" t="s">
        <v>3</v>
      </c>
      <c r="I487" s="1" t="s">
        <v>3</v>
      </c>
      <c r="J487" s="1" t="s">
        <v>3</v>
      </c>
      <c r="K487" s="1" t="s">
        <v>3</v>
      </c>
      <c r="L487" s="1" t="s">
        <v>3</v>
      </c>
      <c r="M487" s="1" t="s">
        <v>3</v>
      </c>
      <c r="N487" s="1" t="s">
        <v>3</v>
      </c>
      <c r="O487" s="1" t="s">
        <v>3</v>
      </c>
      <c r="P487" s="1" t="s">
        <v>3</v>
      </c>
      <c r="Q487" s="1" t="s">
        <v>3</v>
      </c>
      <c r="R487" s="1" t="s">
        <v>3</v>
      </c>
      <c r="S487" s="1" t="s">
        <v>3</v>
      </c>
      <c r="T487" s="1" t="s">
        <v>3</v>
      </c>
      <c r="U487" t="e">
        <f t="shared" si="49"/>
        <v>#VALUE!</v>
      </c>
      <c r="V487" t="e">
        <f t="shared" si="50"/>
        <v>#VALUE!</v>
      </c>
      <c r="W487" t="e">
        <f t="shared" si="51"/>
        <v>#VALUE!</v>
      </c>
      <c r="X487" t="e">
        <f t="shared" si="52"/>
        <v>#VALUE!</v>
      </c>
      <c r="Y487" t="e">
        <f t="shared" si="53"/>
        <v>#VALUE!</v>
      </c>
      <c r="Z487" t="e">
        <f t="shared" si="54"/>
        <v>#VALUE!</v>
      </c>
      <c r="AA487" t="e">
        <f t="shared" si="55"/>
        <v>#VALUE!</v>
      </c>
    </row>
    <row r="488" spans="1:27" x14ac:dyDescent="0.35">
      <c r="A488" s="1" t="s">
        <v>3</v>
      </c>
      <c r="B488" s="1" t="s">
        <v>3</v>
      </c>
      <c r="C488" s="1" t="s">
        <v>3</v>
      </c>
      <c r="D488" s="1" t="s">
        <v>3</v>
      </c>
      <c r="E488" s="1" t="s">
        <v>3</v>
      </c>
      <c r="F488" s="1" t="s">
        <v>3</v>
      </c>
      <c r="G488" s="1" t="s">
        <v>3</v>
      </c>
      <c r="H488" s="1" t="s">
        <v>3</v>
      </c>
      <c r="I488" s="1" t="s">
        <v>3</v>
      </c>
      <c r="J488" s="1" t="s">
        <v>3</v>
      </c>
      <c r="K488" s="1" t="s">
        <v>3</v>
      </c>
      <c r="L488" s="1" t="s">
        <v>3</v>
      </c>
      <c r="M488" s="1" t="s">
        <v>3</v>
      </c>
      <c r="N488" s="1" t="s">
        <v>3</v>
      </c>
      <c r="O488" s="1" t="s">
        <v>3</v>
      </c>
      <c r="P488" s="1" t="s">
        <v>3</v>
      </c>
      <c r="Q488" s="1" t="s">
        <v>3</v>
      </c>
      <c r="R488" s="1" t="s">
        <v>3</v>
      </c>
      <c r="S488" s="1" t="s">
        <v>3</v>
      </c>
      <c r="T488" s="1" t="s">
        <v>3</v>
      </c>
      <c r="U488" t="e">
        <f t="shared" si="49"/>
        <v>#VALUE!</v>
      </c>
      <c r="V488" t="e">
        <f t="shared" si="50"/>
        <v>#VALUE!</v>
      </c>
      <c r="W488" t="e">
        <f t="shared" si="51"/>
        <v>#VALUE!</v>
      </c>
      <c r="X488" t="e">
        <f t="shared" si="52"/>
        <v>#VALUE!</v>
      </c>
      <c r="Y488" t="e">
        <f t="shared" si="53"/>
        <v>#VALUE!</v>
      </c>
      <c r="Z488" t="e">
        <f t="shared" si="54"/>
        <v>#VALUE!</v>
      </c>
      <c r="AA488" t="e">
        <f t="shared" si="55"/>
        <v>#VALUE!</v>
      </c>
    </row>
    <row r="489" spans="1:27" x14ac:dyDescent="0.35">
      <c r="A489" s="1" t="s">
        <v>3</v>
      </c>
      <c r="B489" s="1" t="s">
        <v>3</v>
      </c>
      <c r="C489" s="1" t="s">
        <v>3</v>
      </c>
      <c r="D489" s="1" t="s">
        <v>3</v>
      </c>
      <c r="E489" s="1" t="s">
        <v>3</v>
      </c>
      <c r="F489" s="1" t="s">
        <v>3</v>
      </c>
      <c r="G489" s="1" t="s">
        <v>3</v>
      </c>
      <c r="H489" s="1" t="s">
        <v>3</v>
      </c>
      <c r="I489" s="1" t="s">
        <v>3</v>
      </c>
      <c r="J489" s="1" t="s">
        <v>3</v>
      </c>
      <c r="K489" s="1" t="s">
        <v>3</v>
      </c>
      <c r="L489" s="1" t="s">
        <v>3</v>
      </c>
      <c r="M489" s="1" t="s">
        <v>3</v>
      </c>
      <c r="N489" s="1" t="s">
        <v>3</v>
      </c>
      <c r="O489" s="1" t="s">
        <v>3</v>
      </c>
      <c r="P489" s="1" t="s">
        <v>3</v>
      </c>
      <c r="Q489" s="1" t="s">
        <v>3</v>
      </c>
      <c r="R489" s="1" t="s">
        <v>3</v>
      </c>
      <c r="S489" s="1" t="s">
        <v>3</v>
      </c>
      <c r="T489" s="1" t="s">
        <v>3</v>
      </c>
      <c r="U489" t="e">
        <f t="shared" si="49"/>
        <v>#VALUE!</v>
      </c>
      <c r="V489" t="e">
        <f t="shared" si="50"/>
        <v>#VALUE!</v>
      </c>
      <c r="W489" t="e">
        <f t="shared" si="51"/>
        <v>#VALUE!</v>
      </c>
      <c r="X489" t="e">
        <f t="shared" si="52"/>
        <v>#VALUE!</v>
      </c>
      <c r="Y489" t="e">
        <f t="shared" si="53"/>
        <v>#VALUE!</v>
      </c>
      <c r="Z489" t="e">
        <f t="shared" si="54"/>
        <v>#VALUE!</v>
      </c>
      <c r="AA489" t="e">
        <f t="shared" si="55"/>
        <v>#VALUE!</v>
      </c>
    </row>
    <row r="490" spans="1:27" x14ac:dyDescent="0.35">
      <c r="A490" s="1" t="s">
        <v>3</v>
      </c>
      <c r="B490" s="1" t="s">
        <v>3</v>
      </c>
      <c r="C490" s="1" t="s">
        <v>3</v>
      </c>
      <c r="D490" s="1" t="s">
        <v>3</v>
      </c>
      <c r="E490" s="1" t="s">
        <v>3</v>
      </c>
      <c r="F490" s="1" t="s">
        <v>3</v>
      </c>
      <c r="G490" s="1" t="s">
        <v>3</v>
      </c>
      <c r="H490" s="1" t="s">
        <v>3</v>
      </c>
      <c r="I490" s="1" t="s">
        <v>3</v>
      </c>
      <c r="J490" s="1" t="s">
        <v>3</v>
      </c>
      <c r="K490" s="1" t="s">
        <v>3</v>
      </c>
      <c r="L490" s="1" t="s">
        <v>3</v>
      </c>
      <c r="M490" s="1" t="s">
        <v>3</v>
      </c>
      <c r="N490" s="1" t="s">
        <v>3</v>
      </c>
      <c r="O490" s="1" t="s">
        <v>3</v>
      </c>
      <c r="P490" s="1" t="s">
        <v>3</v>
      </c>
      <c r="Q490" s="1" t="s">
        <v>3</v>
      </c>
      <c r="R490" s="1" t="s">
        <v>3</v>
      </c>
      <c r="S490" s="1" t="s">
        <v>3</v>
      </c>
      <c r="T490" s="1" t="s">
        <v>3</v>
      </c>
      <c r="U490" t="e">
        <f t="shared" si="49"/>
        <v>#VALUE!</v>
      </c>
      <c r="V490" t="e">
        <f t="shared" si="50"/>
        <v>#VALUE!</v>
      </c>
      <c r="W490" t="e">
        <f t="shared" si="51"/>
        <v>#VALUE!</v>
      </c>
      <c r="X490" t="e">
        <f t="shared" si="52"/>
        <v>#VALUE!</v>
      </c>
      <c r="Y490" t="e">
        <f t="shared" si="53"/>
        <v>#VALUE!</v>
      </c>
      <c r="Z490" t="e">
        <f t="shared" si="54"/>
        <v>#VALUE!</v>
      </c>
      <c r="AA490" t="e">
        <f t="shared" si="55"/>
        <v>#VALUE!</v>
      </c>
    </row>
    <row r="491" spans="1:27" x14ac:dyDescent="0.35">
      <c r="A491" s="1" t="s">
        <v>3</v>
      </c>
      <c r="B491" s="1" t="s">
        <v>3</v>
      </c>
      <c r="C491" s="1" t="s">
        <v>3</v>
      </c>
      <c r="D491" s="1" t="s">
        <v>3</v>
      </c>
      <c r="E491" s="1" t="s">
        <v>3</v>
      </c>
      <c r="F491" s="1" t="s">
        <v>3</v>
      </c>
      <c r="G491" s="1" t="s">
        <v>3</v>
      </c>
      <c r="H491" s="1" t="s">
        <v>3</v>
      </c>
      <c r="I491" s="1" t="s">
        <v>3</v>
      </c>
      <c r="J491" s="1" t="s">
        <v>3</v>
      </c>
      <c r="K491" s="1" t="s">
        <v>3</v>
      </c>
      <c r="L491" s="1" t="s">
        <v>3</v>
      </c>
      <c r="M491" s="1" t="s">
        <v>3</v>
      </c>
      <c r="N491" s="1" t="s">
        <v>3</v>
      </c>
      <c r="O491" s="1" t="s">
        <v>3</v>
      </c>
      <c r="P491" s="1" t="s">
        <v>3</v>
      </c>
      <c r="Q491" s="1" t="s">
        <v>3</v>
      </c>
      <c r="R491" s="1" t="s">
        <v>3</v>
      </c>
      <c r="S491" s="1" t="s">
        <v>3</v>
      </c>
      <c r="T491" s="1" t="s">
        <v>3</v>
      </c>
      <c r="U491" t="e">
        <f t="shared" si="49"/>
        <v>#VALUE!</v>
      </c>
      <c r="V491" t="e">
        <f t="shared" si="50"/>
        <v>#VALUE!</v>
      </c>
      <c r="W491" t="e">
        <f t="shared" si="51"/>
        <v>#VALUE!</v>
      </c>
      <c r="X491" t="e">
        <f t="shared" si="52"/>
        <v>#VALUE!</v>
      </c>
      <c r="Y491" t="e">
        <f t="shared" si="53"/>
        <v>#VALUE!</v>
      </c>
      <c r="Z491" t="e">
        <f t="shared" si="54"/>
        <v>#VALUE!</v>
      </c>
      <c r="AA491" t="e">
        <f t="shared" si="55"/>
        <v>#VALUE!</v>
      </c>
    </row>
    <row r="492" spans="1:27" x14ac:dyDescent="0.35">
      <c r="A492" s="1" t="s">
        <v>3</v>
      </c>
      <c r="B492" s="1" t="s">
        <v>3</v>
      </c>
      <c r="C492" s="1" t="s">
        <v>3</v>
      </c>
      <c r="D492" s="1" t="s">
        <v>3</v>
      </c>
      <c r="E492" s="1" t="s">
        <v>3</v>
      </c>
      <c r="F492" s="1" t="s">
        <v>3</v>
      </c>
      <c r="G492" s="1" t="s">
        <v>3</v>
      </c>
      <c r="H492" s="1" t="s">
        <v>3</v>
      </c>
      <c r="I492" s="1" t="s">
        <v>3</v>
      </c>
      <c r="J492" s="1" t="s">
        <v>3</v>
      </c>
      <c r="K492" s="1" t="s">
        <v>3</v>
      </c>
      <c r="L492" s="1" t="s">
        <v>3</v>
      </c>
      <c r="M492" s="1" t="s">
        <v>3</v>
      </c>
      <c r="N492" s="1" t="s">
        <v>3</v>
      </c>
      <c r="O492" s="1" t="s">
        <v>3</v>
      </c>
      <c r="P492" s="1" t="s">
        <v>3</v>
      </c>
      <c r="Q492" s="1" t="s">
        <v>3</v>
      </c>
      <c r="R492" s="1" t="s">
        <v>3</v>
      </c>
      <c r="S492" s="1" t="s">
        <v>3</v>
      </c>
      <c r="T492" s="1" t="s">
        <v>3</v>
      </c>
      <c r="U492" t="e">
        <f t="shared" si="49"/>
        <v>#VALUE!</v>
      </c>
      <c r="V492" t="e">
        <f t="shared" si="50"/>
        <v>#VALUE!</v>
      </c>
      <c r="W492" t="e">
        <f t="shared" si="51"/>
        <v>#VALUE!</v>
      </c>
      <c r="X492" t="e">
        <f t="shared" si="52"/>
        <v>#VALUE!</v>
      </c>
      <c r="Y492" t="e">
        <f t="shared" si="53"/>
        <v>#VALUE!</v>
      </c>
      <c r="Z492" t="e">
        <f t="shared" si="54"/>
        <v>#VALUE!</v>
      </c>
      <c r="AA492" t="e">
        <f t="shared" si="55"/>
        <v>#VALUE!</v>
      </c>
    </row>
    <row r="493" spans="1:27" x14ac:dyDescent="0.35">
      <c r="A493" s="1" t="s">
        <v>3</v>
      </c>
      <c r="B493" s="1" t="s">
        <v>3</v>
      </c>
      <c r="C493" s="1" t="s">
        <v>3</v>
      </c>
      <c r="D493" s="1" t="s">
        <v>3</v>
      </c>
      <c r="E493" s="1" t="s">
        <v>3</v>
      </c>
      <c r="F493" s="1" t="s">
        <v>3</v>
      </c>
      <c r="G493" s="1" t="s">
        <v>3</v>
      </c>
      <c r="H493" s="1" t="s">
        <v>3</v>
      </c>
      <c r="I493" s="1" t="s">
        <v>3</v>
      </c>
      <c r="J493" s="1" t="s">
        <v>3</v>
      </c>
      <c r="K493" s="1" t="s">
        <v>3</v>
      </c>
      <c r="L493" s="1" t="s">
        <v>3</v>
      </c>
      <c r="M493" s="1" t="s">
        <v>3</v>
      </c>
      <c r="N493" s="1" t="s">
        <v>3</v>
      </c>
      <c r="O493" s="1" t="s">
        <v>3</v>
      </c>
      <c r="P493" s="1" t="s">
        <v>3</v>
      </c>
      <c r="Q493" s="1" t="s">
        <v>3</v>
      </c>
      <c r="R493" s="1" t="s">
        <v>3</v>
      </c>
      <c r="S493" s="1" t="s">
        <v>3</v>
      </c>
      <c r="T493" s="1" t="s">
        <v>3</v>
      </c>
      <c r="U493" t="e">
        <f t="shared" si="49"/>
        <v>#VALUE!</v>
      </c>
      <c r="V493" t="e">
        <f t="shared" si="50"/>
        <v>#VALUE!</v>
      </c>
      <c r="W493" t="e">
        <f t="shared" si="51"/>
        <v>#VALUE!</v>
      </c>
      <c r="X493" t="e">
        <f t="shared" si="52"/>
        <v>#VALUE!</v>
      </c>
      <c r="Y493" t="e">
        <f t="shared" si="53"/>
        <v>#VALUE!</v>
      </c>
      <c r="Z493" t="e">
        <f t="shared" si="54"/>
        <v>#VALUE!</v>
      </c>
      <c r="AA493" t="e">
        <f t="shared" si="55"/>
        <v>#VALUE!</v>
      </c>
    </row>
    <row r="494" spans="1:27" x14ac:dyDescent="0.35">
      <c r="A494" s="1" t="s">
        <v>3</v>
      </c>
      <c r="B494" s="1" t="s">
        <v>3</v>
      </c>
      <c r="C494" s="1" t="s">
        <v>3</v>
      </c>
      <c r="D494" s="1" t="s">
        <v>3</v>
      </c>
      <c r="E494" s="1" t="s">
        <v>3</v>
      </c>
      <c r="F494" s="1" t="s">
        <v>3</v>
      </c>
      <c r="G494" s="1" t="s">
        <v>3</v>
      </c>
      <c r="H494" s="1" t="s">
        <v>3</v>
      </c>
      <c r="I494" s="1" t="s">
        <v>3</v>
      </c>
      <c r="J494" s="1" t="s">
        <v>3</v>
      </c>
      <c r="K494" s="1" t="s">
        <v>3</v>
      </c>
      <c r="L494" s="1" t="s">
        <v>3</v>
      </c>
      <c r="M494" s="1" t="s">
        <v>3</v>
      </c>
      <c r="N494" s="1" t="s">
        <v>3</v>
      </c>
      <c r="O494" s="1" t="s">
        <v>3</v>
      </c>
      <c r="P494" s="1" t="s">
        <v>3</v>
      </c>
      <c r="Q494" s="1" t="s">
        <v>3</v>
      </c>
      <c r="R494" s="1" t="s">
        <v>3</v>
      </c>
      <c r="S494" s="1" t="s">
        <v>3</v>
      </c>
      <c r="T494" s="1" t="s">
        <v>3</v>
      </c>
      <c r="U494" t="e">
        <f t="shared" si="49"/>
        <v>#VALUE!</v>
      </c>
      <c r="V494" t="e">
        <f t="shared" si="50"/>
        <v>#VALUE!</v>
      </c>
      <c r="W494" t="e">
        <f t="shared" si="51"/>
        <v>#VALUE!</v>
      </c>
      <c r="X494" t="e">
        <f t="shared" si="52"/>
        <v>#VALUE!</v>
      </c>
      <c r="Y494" t="e">
        <f t="shared" si="53"/>
        <v>#VALUE!</v>
      </c>
      <c r="Z494" t="e">
        <f t="shared" si="54"/>
        <v>#VALUE!</v>
      </c>
      <c r="AA494" t="e">
        <f t="shared" si="55"/>
        <v>#VALUE!</v>
      </c>
    </row>
    <row r="495" spans="1:27" x14ac:dyDescent="0.35">
      <c r="A495" s="1" t="s">
        <v>3</v>
      </c>
      <c r="B495" s="1" t="s">
        <v>3</v>
      </c>
      <c r="C495" s="1" t="s">
        <v>3</v>
      </c>
      <c r="D495" s="1" t="s">
        <v>3</v>
      </c>
      <c r="E495" s="1" t="s">
        <v>3</v>
      </c>
      <c r="F495" s="1" t="s">
        <v>3</v>
      </c>
      <c r="G495" s="1" t="s">
        <v>3</v>
      </c>
      <c r="H495" s="1" t="s">
        <v>3</v>
      </c>
      <c r="I495" s="1" t="s">
        <v>3</v>
      </c>
      <c r="J495" s="1" t="s">
        <v>3</v>
      </c>
      <c r="K495" s="1" t="s">
        <v>3</v>
      </c>
      <c r="L495" s="1" t="s">
        <v>3</v>
      </c>
      <c r="M495" s="1" t="s">
        <v>3</v>
      </c>
      <c r="N495" s="1" t="s">
        <v>3</v>
      </c>
      <c r="O495" s="1" t="s">
        <v>3</v>
      </c>
      <c r="P495" s="1" t="s">
        <v>3</v>
      </c>
      <c r="Q495" s="1" t="s">
        <v>3</v>
      </c>
      <c r="R495" s="1" t="s">
        <v>3</v>
      </c>
      <c r="S495" s="1" t="s">
        <v>3</v>
      </c>
      <c r="T495" s="1" t="s">
        <v>3</v>
      </c>
      <c r="U495" t="e">
        <f t="shared" si="49"/>
        <v>#VALUE!</v>
      </c>
      <c r="V495" t="e">
        <f t="shared" si="50"/>
        <v>#VALUE!</v>
      </c>
      <c r="W495" t="e">
        <f t="shared" si="51"/>
        <v>#VALUE!</v>
      </c>
      <c r="X495" t="e">
        <f t="shared" si="52"/>
        <v>#VALUE!</v>
      </c>
      <c r="Y495" t="e">
        <f t="shared" si="53"/>
        <v>#VALUE!</v>
      </c>
      <c r="Z495" t="e">
        <f t="shared" si="54"/>
        <v>#VALUE!</v>
      </c>
      <c r="AA495" t="e">
        <f t="shared" si="55"/>
        <v>#VALUE!</v>
      </c>
    </row>
    <row r="496" spans="1:27" x14ac:dyDescent="0.35">
      <c r="A496" s="1" t="s">
        <v>3</v>
      </c>
      <c r="B496" s="1" t="s">
        <v>3</v>
      </c>
      <c r="C496" s="1" t="s">
        <v>3</v>
      </c>
      <c r="D496" s="1" t="s">
        <v>3</v>
      </c>
      <c r="E496" s="1" t="s">
        <v>3</v>
      </c>
      <c r="F496" s="1" t="s">
        <v>3</v>
      </c>
      <c r="G496" s="1" t="s">
        <v>3</v>
      </c>
      <c r="H496" s="1" t="s">
        <v>3</v>
      </c>
      <c r="I496" s="1" t="s">
        <v>3</v>
      </c>
      <c r="J496" s="1" t="s">
        <v>3</v>
      </c>
      <c r="K496" s="1" t="s">
        <v>3</v>
      </c>
      <c r="L496" s="1" t="s">
        <v>3</v>
      </c>
      <c r="M496" s="1" t="s">
        <v>3</v>
      </c>
      <c r="N496" s="1" t="s">
        <v>3</v>
      </c>
      <c r="O496" s="1" t="s">
        <v>3</v>
      </c>
      <c r="P496" s="1" t="s">
        <v>3</v>
      </c>
      <c r="Q496" s="1" t="s">
        <v>3</v>
      </c>
      <c r="R496" s="1" t="s">
        <v>3</v>
      </c>
      <c r="S496" s="1" t="s">
        <v>3</v>
      </c>
      <c r="T496" s="1" t="s">
        <v>3</v>
      </c>
      <c r="U496" t="e">
        <f t="shared" si="49"/>
        <v>#VALUE!</v>
      </c>
      <c r="V496" t="e">
        <f t="shared" si="50"/>
        <v>#VALUE!</v>
      </c>
      <c r="W496" t="e">
        <f t="shared" si="51"/>
        <v>#VALUE!</v>
      </c>
      <c r="X496" t="e">
        <f t="shared" si="52"/>
        <v>#VALUE!</v>
      </c>
      <c r="Y496" t="e">
        <f t="shared" si="53"/>
        <v>#VALUE!</v>
      </c>
      <c r="Z496" t="e">
        <f t="shared" si="54"/>
        <v>#VALUE!</v>
      </c>
      <c r="AA496" t="e">
        <f t="shared" si="55"/>
        <v>#VALUE!</v>
      </c>
    </row>
    <row r="497" spans="1:27" x14ac:dyDescent="0.35">
      <c r="A497" s="1" t="s">
        <v>3</v>
      </c>
      <c r="B497" s="1" t="s">
        <v>3</v>
      </c>
      <c r="C497" s="1" t="s">
        <v>3</v>
      </c>
      <c r="D497" s="1" t="s">
        <v>3</v>
      </c>
      <c r="E497" s="1" t="s">
        <v>3</v>
      </c>
      <c r="F497" s="1" t="s">
        <v>3</v>
      </c>
      <c r="G497" s="1" t="s">
        <v>3</v>
      </c>
      <c r="H497" s="1" t="s">
        <v>3</v>
      </c>
      <c r="I497" s="1" t="s">
        <v>3</v>
      </c>
      <c r="J497" s="1" t="s">
        <v>3</v>
      </c>
      <c r="K497" s="1" t="s">
        <v>3</v>
      </c>
      <c r="L497" s="1" t="s">
        <v>3</v>
      </c>
      <c r="M497" s="1" t="s">
        <v>3</v>
      </c>
      <c r="N497" s="1" t="s">
        <v>3</v>
      </c>
      <c r="O497" s="1" t="s">
        <v>3</v>
      </c>
      <c r="P497" s="1" t="s">
        <v>3</v>
      </c>
      <c r="Q497" s="1" t="s">
        <v>3</v>
      </c>
      <c r="R497" s="1" t="s">
        <v>3</v>
      </c>
      <c r="S497" s="1" t="s">
        <v>3</v>
      </c>
      <c r="T497" s="1" t="s">
        <v>3</v>
      </c>
      <c r="U497" t="e">
        <f t="shared" si="49"/>
        <v>#VALUE!</v>
      </c>
      <c r="V497" t="e">
        <f t="shared" si="50"/>
        <v>#VALUE!</v>
      </c>
      <c r="W497" t="e">
        <f t="shared" si="51"/>
        <v>#VALUE!</v>
      </c>
      <c r="X497" t="e">
        <f t="shared" si="52"/>
        <v>#VALUE!</v>
      </c>
      <c r="Y497" t="e">
        <f t="shared" si="53"/>
        <v>#VALUE!</v>
      </c>
      <c r="Z497" t="e">
        <f t="shared" si="54"/>
        <v>#VALUE!</v>
      </c>
      <c r="AA497" t="e">
        <f t="shared" si="55"/>
        <v>#VALUE!</v>
      </c>
    </row>
    <row r="498" spans="1:27" x14ac:dyDescent="0.35">
      <c r="A498" s="1" t="s">
        <v>3</v>
      </c>
      <c r="B498" s="1" t="s">
        <v>3</v>
      </c>
      <c r="C498" s="1" t="s">
        <v>3</v>
      </c>
      <c r="D498" s="1" t="s">
        <v>3</v>
      </c>
      <c r="E498" s="1" t="s">
        <v>3</v>
      </c>
      <c r="F498" s="1" t="s">
        <v>3</v>
      </c>
      <c r="G498" s="1" t="s">
        <v>3</v>
      </c>
      <c r="H498" s="1" t="s">
        <v>3</v>
      </c>
      <c r="I498" s="1" t="s">
        <v>3</v>
      </c>
      <c r="J498" s="1" t="s">
        <v>3</v>
      </c>
      <c r="K498" s="1" t="s">
        <v>3</v>
      </c>
      <c r="L498" s="1" t="s">
        <v>3</v>
      </c>
      <c r="M498" s="1" t="s">
        <v>3</v>
      </c>
      <c r="N498" s="1" t="s">
        <v>3</v>
      </c>
      <c r="O498" s="1" t="s">
        <v>3</v>
      </c>
      <c r="P498" s="1" t="s">
        <v>3</v>
      </c>
      <c r="Q498" s="1" t="s">
        <v>3</v>
      </c>
      <c r="R498" s="1" t="s">
        <v>3</v>
      </c>
      <c r="S498" s="1" t="s">
        <v>3</v>
      </c>
      <c r="T498" s="1" t="s">
        <v>3</v>
      </c>
      <c r="U498" t="e">
        <f t="shared" si="49"/>
        <v>#VALUE!</v>
      </c>
      <c r="V498" t="e">
        <f t="shared" si="50"/>
        <v>#VALUE!</v>
      </c>
      <c r="W498" t="e">
        <f t="shared" si="51"/>
        <v>#VALUE!</v>
      </c>
      <c r="X498" t="e">
        <f t="shared" si="52"/>
        <v>#VALUE!</v>
      </c>
      <c r="Y498" t="e">
        <f t="shared" si="53"/>
        <v>#VALUE!</v>
      </c>
      <c r="Z498" t="e">
        <f t="shared" si="54"/>
        <v>#VALUE!</v>
      </c>
      <c r="AA498" t="e">
        <f t="shared" si="55"/>
        <v>#VALUE!</v>
      </c>
    </row>
    <row r="499" spans="1:27" x14ac:dyDescent="0.35">
      <c r="A499" s="1" t="s">
        <v>3</v>
      </c>
      <c r="B499" s="1" t="s">
        <v>3</v>
      </c>
      <c r="C499" s="1" t="s">
        <v>3</v>
      </c>
      <c r="D499" s="1">
        <v>78.659329999999997</v>
      </c>
      <c r="E499" s="1">
        <v>5.3527800000000001</v>
      </c>
      <c r="F499" s="1">
        <v>1.2453099999999999</v>
      </c>
      <c r="G499" s="1">
        <v>1.00787</v>
      </c>
      <c r="H499" s="1" t="s">
        <v>3</v>
      </c>
      <c r="I499" s="1">
        <v>7.0600000000000003E-3</v>
      </c>
      <c r="J499" s="1">
        <v>1630333195</v>
      </c>
      <c r="K499" s="1">
        <v>2618039031</v>
      </c>
      <c r="L499">
        <v>370626936711</v>
      </c>
      <c r="M499">
        <v>308656600</v>
      </c>
      <c r="N499">
        <v>14764060765</v>
      </c>
      <c r="O499" s="1">
        <v>221235491</v>
      </c>
      <c r="P499">
        <v>19838854129</v>
      </c>
      <c r="Q499">
        <v>335190575582</v>
      </c>
      <c r="R499">
        <v>332572536551</v>
      </c>
      <c r="S499">
        <v>1566887411</v>
      </c>
      <c r="T499">
        <v>5.9999999999999995E-4</v>
      </c>
      <c r="U499">
        <f t="shared" si="49"/>
        <v>3.6801350995793111E-2</v>
      </c>
      <c r="V499">
        <f t="shared" si="50"/>
        <v>-3.9935460546756976</v>
      </c>
      <c r="W499">
        <f t="shared" si="51"/>
        <v>8.305582044777314E-2</v>
      </c>
      <c r="X499">
        <f t="shared" si="52"/>
        <v>1</v>
      </c>
      <c r="Y499">
        <f t="shared" si="53"/>
        <v>0</v>
      </c>
      <c r="Z499">
        <f t="shared" si="54"/>
        <v>0</v>
      </c>
      <c r="AA499">
        <f t="shared" si="55"/>
        <v>0</v>
      </c>
    </row>
    <row r="500" spans="1:27" x14ac:dyDescent="0.35">
      <c r="A500" s="1">
        <v>5.3472117828216303</v>
      </c>
      <c r="B500" s="1">
        <v>10.4946993817086</v>
      </c>
      <c r="C500" s="1">
        <v>7.3416277615172998E-2</v>
      </c>
      <c r="D500" s="1">
        <v>3.35324</v>
      </c>
      <c r="E500" s="1">
        <v>3.1296900000000001</v>
      </c>
      <c r="F500" s="1">
        <v>13.709440000000001</v>
      </c>
      <c r="G500" s="1">
        <v>2.1473100000000001</v>
      </c>
      <c r="H500" s="1">
        <v>0.28470577294737098</v>
      </c>
      <c r="I500" s="1">
        <v>6.2600000000000003E-2</v>
      </c>
      <c r="J500" s="1">
        <v>11357353285</v>
      </c>
      <c r="K500" s="1">
        <v>25476661741</v>
      </c>
      <c r="L500">
        <v>406998941725</v>
      </c>
      <c r="M500">
        <v>26463041929</v>
      </c>
      <c r="N500">
        <v>110697288392</v>
      </c>
      <c r="O500" s="1">
        <v>20790651299</v>
      </c>
      <c r="P500">
        <v>12737790204</v>
      </c>
      <c r="Q500">
        <v>47682156898</v>
      </c>
      <c r="R500">
        <v>22205495157</v>
      </c>
      <c r="S500">
        <v>28545198686</v>
      </c>
      <c r="T500">
        <v>5.1630000000000002E-2</v>
      </c>
      <c r="U500">
        <f t="shared" si="49"/>
        <v>1.1751292762402681</v>
      </c>
      <c r="V500">
        <f t="shared" si="50"/>
        <v>-4.3428912898718846</v>
      </c>
      <c r="W500">
        <f t="shared" si="51"/>
        <v>0.39984363991014993</v>
      </c>
      <c r="X500">
        <f t="shared" si="52"/>
        <v>0</v>
      </c>
      <c r="Y500">
        <f t="shared" si="53"/>
        <v>0</v>
      </c>
      <c r="Z500">
        <f t="shared" si="54"/>
        <v>0</v>
      </c>
      <c r="AA500">
        <f t="shared" si="55"/>
        <v>0</v>
      </c>
    </row>
    <row r="501" spans="1:27" x14ac:dyDescent="0.35">
      <c r="A501" s="1">
        <v>19.3907549323079</v>
      </c>
      <c r="B501" s="1">
        <v>21.0886426183894</v>
      </c>
      <c r="C501" s="1">
        <v>0.25055232912409198</v>
      </c>
      <c r="D501" s="1">
        <v>0.47802</v>
      </c>
      <c r="E501" s="1">
        <v>0.44752999999999998</v>
      </c>
      <c r="F501" s="1">
        <v>128.85297</v>
      </c>
      <c r="G501" s="1">
        <v>3.7668900000000001</v>
      </c>
      <c r="H501" s="1">
        <v>0.80930610524651003</v>
      </c>
      <c r="I501" s="1">
        <v>0.1719</v>
      </c>
      <c r="J501" s="1">
        <v>70947793503</v>
      </c>
      <c r="K501" s="1">
        <v>125194075018</v>
      </c>
      <c r="L501">
        <v>728297403603</v>
      </c>
      <c r="M501">
        <v>141121789891</v>
      </c>
      <c r="N501">
        <v>459401131769</v>
      </c>
      <c r="O501" s="1">
        <v>110071266039</v>
      </c>
      <c r="P501">
        <v>3259377754</v>
      </c>
      <c r="Q501">
        <v>170441373856</v>
      </c>
      <c r="R501">
        <v>45247298838</v>
      </c>
      <c r="S501">
        <v>142225571784</v>
      </c>
      <c r="T501">
        <v>0.18</v>
      </c>
      <c r="U501">
        <f t="shared" si="49"/>
        <v>3.0873706301141142</v>
      </c>
      <c r="V501">
        <f t="shared" si="50"/>
        <v>-4.9395307620858615</v>
      </c>
      <c r="W501">
        <f t="shared" si="51"/>
        <v>1.0078027997399379</v>
      </c>
      <c r="X501">
        <f t="shared" si="52"/>
        <v>0</v>
      </c>
      <c r="Y501">
        <f t="shared" si="53"/>
        <v>0</v>
      </c>
      <c r="Z501">
        <f t="shared" si="54"/>
        <v>0</v>
      </c>
      <c r="AA501">
        <f t="shared" si="55"/>
        <v>0</v>
      </c>
    </row>
    <row r="502" spans="1:27" x14ac:dyDescent="0.35">
      <c r="A502" s="1">
        <v>15.610828759497601</v>
      </c>
      <c r="B502" s="1">
        <v>17.121138068559802</v>
      </c>
      <c r="C502" s="1">
        <v>0.20056466247508001</v>
      </c>
      <c r="D502" s="1" t="s">
        <v>3</v>
      </c>
      <c r="E502" s="1" t="s">
        <v>3</v>
      </c>
      <c r="F502" s="1">
        <v>1201.72279</v>
      </c>
      <c r="G502" s="1">
        <v>2.7319900000000001</v>
      </c>
      <c r="H502" s="1">
        <v>0.82291940124441099</v>
      </c>
      <c r="I502" s="1">
        <v>0.15211</v>
      </c>
      <c r="J502" s="1">
        <v>119016352664</v>
      </c>
      <c r="K502" s="1">
        <v>128761966503</v>
      </c>
      <c r="L502">
        <v>846496722522</v>
      </c>
      <c r="M502" s="1">
        <v>157792611497</v>
      </c>
      <c r="N502">
        <v>647964319677</v>
      </c>
      <c r="O502" s="1">
        <v>122919207172</v>
      </c>
      <c r="P502" s="1" t="s">
        <v>3</v>
      </c>
      <c r="Q502" s="1">
        <v>203105119216</v>
      </c>
      <c r="R502" s="1">
        <v>74343152713</v>
      </c>
      <c r="S502" s="1">
        <v>157924026187</v>
      </c>
      <c r="T502" s="1">
        <v>0.26105</v>
      </c>
      <c r="U502">
        <f t="shared" si="49"/>
        <v>2.4364497884858554</v>
      </c>
      <c r="V502" t="e">
        <f t="shared" si="50"/>
        <v>#VALUE!</v>
      </c>
      <c r="W502">
        <f t="shared" si="51"/>
        <v>0.94536414504334476</v>
      </c>
      <c r="X502">
        <f t="shared" si="52"/>
        <v>0</v>
      </c>
      <c r="Y502" t="e">
        <f t="shared" si="53"/>
        <v>#VALUE!</v>
      </c>
      <c r="Z502">
        <f t="shared" si="54"/>
        <v>0</v>
      </c>
      <c r="AA502" t="e">
        <f t="shared" si="55"/>
        <v>#VALUE!</v>
      </c>
    </row>
    <row r="503" spans="1:27" x14ac:dyDescent="0.35">
      <c r="A503" s="1">
        <v>5.0165837346874502</v>
      </c>
      <c r="B503" s="1">
        <v>5.5825460121689998</v>
      </c>
      <c r="C503" s="1">
        <v>6.3738106392607005E-2</v>
      </c>
      <c r="D503" s="1" t="s">
        <v>3</v>
      </c>
      <c r="E503" s="1" t="s">
        <v>3</v>
      </c>
      <c r="F503" s="1" t="s">
        <v>3</v>
      </c>
      <c r="G503" s="1">
        <v>0.51332999999999995</v>
      </c>
      <c r="H503" s="1">
        <v>0.46015084380755999</v>
      </c>
      <c r="I503" s="1">
        <v>-4.5449999999999997E-2</v>
      </c>
      <c r="J503" s="1">
        <v>10353618399</v>
      </c>
      <c r="K503" s="1">
        <v>-40919296895</v>
      </c>
      <c r="L503">
        <v>900366532407</v>
      </c>
      <c r="M503" s="1">
        <v>55670877998</v>
      </c>
      <c r="N503">
        <v>401910300386</v>
      </c>
      <c r="O503" s="1">
        <v>43816428957</v>
      </c>
      <c r="P503" s="1" t="s">
        <v>3</v>
      </c>
      <c r="Q503" s="1">
        <v>43160800246</v>
      </c>
      <c r="R503" s="1">
        <v>84080097141</v>
      </c>
      <c r="S503" s="1">
        <v>55670877998</v>
      </c>
      <c r="T503" s="1">
        <v>0.29409999999999997</v>
      </c>
      <c r="U503">
        <f t="shared" si="49"/>
        <v>0.75856287656670041</v>
      </c>
      <c r="V503" t="e">
        <f t="shared" si="50"/>
        <v>#VALUE!</v>
      </c>
      <c r="W503">
        <f t="shared" si="51"/>
        <v>0.19326438486531214</v>
      </c>
      <c r="X503">
        <f t="shared" si="52"/>
        <v>1</v>
      </c>
      <c r="Y503" t="e">
        <f t="shared" si="53"/>
        <v>#VALUE!</v>
      </c>
      <c r="Z503">
        <f t="shared" si="54"/>
        <v>0</v>
      </c>
      <c r="AA503" t="e">
        <f t="shared" si="55"/>
        <v>#VALUE!</v>
      </c>
    </row>
    <row r="504" spans="1:27" x14ac:dyDescent="0.35">
      <c r="A504" s="1" t="s">
        <v>3</v>
      </c>
      <c r="B504" s="1" t="s">
        <v>3</v>
      </c>
      <c r="C504" s="1" t="s">
        <v>3</v>
      </c>
      <c r="D504" s="1" t="s">
        <v>3</v>
      </c>
      <c r="E504" s="1" t="s">
        <v>3</v>
      </c>
      <c r="F504" s="1" t="s">
        <v>3</v>
      </c>
      <c r="G504" s="1" t="s">
        <v>3</v>
      </c>
      <c r="H504" s="1" t="s">
        <v>3</v>
      </c>
      <c r="I504" s="1" t="s">
        <v>3</v>
      </c>
      <c r="J504" s="1" t="s">
        <v>3</v>
      </c>
      <c r="K504" s="1" t="s">
        <v>3</v>
      </c>
      <c r="L504" s="1" t="s">
        <v>3</v>
      </c>
      <c r="M504" s="1" t="s">
        <v>3</v>
      </c>
      <c r="N504" s="1" t="s">
        <v>3</v>
      </c>
      <c r="O504" s="1" t="s">
        <v>3</v>
      </c>
      <c r="P504" s="1" t="s">
        <v>3</v>
      </c>
      <c r="Q504" s="1" t="s">
        <v>3</v>
      </c>
      <c r="R504" s="1" t="s">
        <v>3</v>
      </c>
      <c r="S504" s="1" t="s">
        <v>3</v>
      </c>
      <c r="T504" s="1" t="s">
        <v>3</v>
      </c>
      <c r="U504" t="e">
        <f t="shared" si="49"/>
        <v>#VALUE!</v>
      </c>
      <c r="V504" t="e">
        <f t="shared" si="50"/>
        <v>#VALUE!</v>
      </c>
      <c r="W504" t="e">
        <f t="shared" si="51"/>
        <v>#VALUE!</v>
      </c>
      <c r="X504" t="e">
        <f t="shared" si="52"/>
        <v>#VALUE!</v>
      </c>
      <c r="Y504" t="e">
        <f t="shared" si="53"/>
        <v>#VALUE!</v>
      </c>
      <c r="Z504" t="e">
        <f t="shared" si="54"/>
        <v>#VALUE!</v>
      </c>
      <c r="AA504" t="e">
        <f t="shared" si="55"/>
        <v>#VALUE!</v>
      </c>
    </row>
    <row r="505" spans="1:27" x14ac:dyDescent="0.35">
      <c r="A505" s="1" t="s">
        <v>3</v>
      </c>
      <c r="B505" s="1" t="s">
        <v>3</v>
      </c>
      <c r="C505" s="1" t="s">
        <v>3</v>
      </c>
      <c r="D505" s="1" t="s">
        <v>3</v>
      </c>
      <c r="E505" s="1" t="s">
        <v>3</v>
      </c>
      <c r="F505" s="1" t="s">
        <v>3</v>
      </c>
      <c r="G505" s="1" t="s">
        <v>3</v>
      </c>
      <c r="H505" s="1" t="s">
        <v>3</v>
      </c>
      <c r="I505" s="1" t="s">
        <v>3</v>
      </c>
      <c r="J505" s="1" t="s">
        <v>3</v>
      </c>
      <c r="K505" s="1" t="s">
        <v>3</v>
      </c>
      <c r="L505" s="1" t="s">
        <v>3</v>
      </c>
      <c r="M505" s="1" t="s">
        <v>3</v>
      </c>
      <c r="N505" s="1" t="s">
        <v>3</v>
      </c>
      <c r="O505" s="1" t="s">
        <v>3</v>
      </c>
      <c r="P505" s="1" t="s">
        <v>3</v>
      </c>
      <c r="Q505" s="1" t="s">
        <v>3</v>
      </c>
      <c r="R505" s="1" t="s">
        <v>3</v>
      </c>
      <c r="S505" s="1" t="s">
        <v>3</v>
      </c>
      <c r="T505" s="1" t="s">
        <v>3</v>
      </c>
      <c r="U505" t="e">
        <f t="shared" si="49"/>
        <v>#VALUE!</v>
      </c>
      <c r="V505" t="e">
        <f t="shared" si="50"/>
        <v>#VALUE!</v>
      </c>
      <c r="W505" t="e">
        <f t="shared" si="51"/>
        <v>#VALUE!</v>
      </c>
      <c r="X505" t="e">
        <f t="shared" si="52"/>
        <v>#VALUE!</v>
      </c>
      <c r="Y505" t="e">
        <f t="shared" si="53"/>
        <v>#VALUE!</v>
      </c>
      <c r="Z505" t="e">
        <f t="shared" si="54"/>
        <v>#VALUE!</v>
      </c>
      <c r="AA505" t="e">
        <f t="shared" si="55"/>
        <v>#VALUE!</v>
      </c>
    </row>
    <row r="506" spans="1:27" x14ac:dyDescent="0.35">
      <c r="A506" s="1" t="s">
        <v>3</v>
      </c>
      <c r="B506" s="1" t="s">
        <v>3</v>
      </c>
      <c r="C506" s="1" t="s">
        <v>3</v>
      </c>
      <c r="D506" s="1" t="s">
        <v>3</v>
      </c>
      <c r="E506" s="1" t="s">
        <v>3</v>
      </c>
      <c r="F506" s="1" t="s">
        <v>3</v>
      </c>
      <c r="G506" s="1" t="s">
        <v>3</v>
      </c>
      <c r="H506" s="1" t="s">
        <v>3</v>
      </c>
      <c r="I506" s="1" t="s">
        <v>3</v>
      </c>
      <c r="J506" s="1" t="s">
        <v>3</v>
      </c>
      <c r="K506" s="1" t="s">
        <v>3</v>
      </c>
      <c r="L506" s="1" t="s">
        <v>3</v>
      </c>
      <c r="M506" s="1" t="s">
        <v>3</v>
      </c>
      <c r="N506" s="1" t="s">
        <v>3</v>
      </c>
      <c r="O506" s="1" t="s">
        <v>3</v>
      </c>
      <c r="P506" s="1" t="s">
        <v>3</v>
      </c>
      <c r="Q506" s="1" t="s">
        <v>3</v>
      </c>
      <c r="R506" s="1" t="s">
        <v>3</v>
      </c>
      <c r="S506" s="1" t="s">
        <v>3</v>
      </c>
      <c r="T506" s="1" t="s">
        <v>3</v>
      </c>
      <c r="U506" t="e">
        <f t="shared" si="49"/>
        <v>#VALUE!</v>
      </c>
      <c r="V506" t="e">
        <f t="shared" si="50"/>
        <v>#VALUE!</v>
      </c>
      <c r="W506" t="e">
        <f t="shared" si="51"/>
        <v>#VALUE!</v>
      </c>
      <c r="X506" t="e">
        <f t="shared" si="52"/>
        <v>#VALUE!</v>
      </c>
      <c r="Y506" t="e">
        <f t="shared" si="53"/>
        <v>#VALUE!</v>
      </c>
      <c r="Z506" t="e">
        <f t="shared" si="54"/>
        <v>#VALUE!</v>
      </c>
      <c r="AA506" t="e">
        <f t="shared" si="55"/>
        <v>#VALUE!</v>
      </c>
    </row>
    <row r="507" spans="1:27" x14ac:dyDescent="0.35">
      <c r="A507" s="1" t="s">
        <v>3</v>
      </c>
      <c r="B507" s="1" t="s">
        <v>3</v>
      </c>
      <c r="C507" s="1" t="s">
        <v>3</v>
      </c>
      <c r="D507" s="1" t="s">
        <v>3</v>
      </c>
      <c r="E507" s="1" t="s">
        <v>3</v>
      </c>
      <c r="F507" s="1" t="s">
        <v>3</v>
      </c>
      <c r="G507" s="1" t="s">
        <v>3</v>
      </c>
      <c r="H507" s="1" t="s">
        <v>3</v>
      </c>
      <c r="I507" s="1" t="s">
        <v>3</v>
      </c>
      <c r="J507" s="1" t="s">
        <v>3</v>
      </c>
      <c r="K507" s="1" t="s">
        <v>3</v>
      </c>
      <c r="L507" s="1" t="s">
        <v>3</v>
      </c>
      <c r="M507" s="1" t="s">
        <v>3</v>
      </c>
      <c r="N507" s="1" t="s">
        <v>3</v>
      </c>
      <c r="O507" s="1" t="s">
        <v>3</v>
      </c>
      <c r="P507" s="1" t="s">
        <v>3</v>
      </c>
      <c r="Q507" s="1" t="s">
        <v>3</v>
      </c>
      <c r="R507" s="1" t="s">
        <v>3</v>
      </c>
      <c r="S507" s="1" t="s">
        <v>3</v>
      </c>
      <c r="T507" s="1" t="s">
        <v>3</v>
      </c>
      <c r="U507" t="e">
        <f t="shared" si="49"/>
        <v>#VALUE!</v>
      </c>
      <c r="V507" t="e">
        <f t="shared" si="50"/>
        <v>#VALUE!</v>
      </c>
      <c r="W507" t="e">
        <f t="shared" si="51"/>
        <v>#VALUE!</v>
      </c>
      <c r="X507" t="e">
        <f t="shared" si="52"/>
        <v>#VALUE!</v>
      </c>
      <c r="Y507" t="e">
        <f t="shared" si="53"/>
        <v>#VALUE!</v>
      </c>
      <c r="Z507" t="e">
        <f t="shared" si="54"/>
        <v>#VALUE!</v>
      </c>
      <c r="AA507" t="e">
        <f t="shared" si="55"/>
        <v>#VALUE!</v>
      </c>
    </row>
    <row r="508" spans="1:27" x14ac:dyDescent="0.35">
      <c r="A508" s="1" t="s">
        <v>3</v>
      </c>
      <c r="B508" s="1" t="s">
        <v>3</v>
      </c>
      <c r="C508" s="1" t="s">
        <v>3</v>
      </c>
      <c r="D508" s="1" t="s">
        <v>3</v>
      </c>
      <c r="E508" s="1" t="s">
        <v>3</v>
      </c>
      <c r="F508" s="1" t="s">
        <v>3</v>
      </c>
      <c r="G508" s="1" t="s">
        <v>3</v>
      </c>
      <c r="H508" s="1" t="s">
        <v>3</v>
      </c>
      <c r="I508" s="1" t="s">
        <v>3</v>
      </c>
      <c r="J508" s="1" t="s">
        <v>3</v>
      </c>
      <c r="K508" s="1" t="s">
        <v>3</v>
      </c>
      <c r="L508" s="1" t="s">
        <v>3</v>
      </c>
      <c r="M508" s="1" t="s">
        <v>3</v>
      </c>
      <c r="N508" s="1" t="s">
        <v>3</v>
      </c>
      <c r="O508" s="1" t="s">
        <v>3</v>
      </c>
      <c r="P508" s="1" t="s">
        <v>3</v>
      </c>
      <c r="Q508" s="1" t="s">
        <v>3</v>
      </c>
      <c r="R508" s="1" t="s">
        <v>3</v>
      </c>
      <c r="S508" s="1" t="s">
        <v>3</v>
      </c>
      <c r="T508" s="1" t="s">
        <v>3</v>
      </c>
      <c r="U508" t="e">
        <f t="shared" si="49"/>
        <v>#VALUE!</v>
      </c>
      <c r="V508" t="e">
        <f t="shared" si="50"/>
        <v>#VALUE!</v>
      </c>
      <c r="W508" t="e">
        <f t="shared" si="51"/>
        <v>#VALUE!</v>
      </c>
      <c r="X508" t="e">
        <f t="shared" si="52"/>
        <v>#VALUE!</v>
      </c>
      <c r="Y508" t="e">
        <f t="shared" si="53"/>
        <v>#VALUE!</v>
      </c>
      <c r="Z508" t="e">
        <f t="shared" si="54"/>
        <v>#VALUE!</v>
      </c>
      <c r="AA508" t="e">
        <f t="shared" si="55"/>
        <v>#VALUE!</v>
      </c>
    </row>
    <row r="509" spans="1:27" x14ac:dyDescent="0.35">
      <c r="A509" s="1" t="s">
        <v>3</v>
      </c>
      <c r="B509" s="1" t="s">
        <v>3</v>
      </c>
      <c r="C509" s="1" t="s">
        <v>3</v>
      </c>
      <c r="D509" s="1" t="s">
        <v>3</v>
      </c>
      <c r="E509" s="1">
        <v>114.85312999999999</v>
      </c>
      <c r="F509" s="1" t="s">
        <v>3</v>
      </c>
      <c r="G509" s="1">
        <v>133.45679000000001</v>
      </c>
      <c r="H509" s="1" t="s">
        <v>3</v>
      </c>
      <c r="I509" s="1">
        <v>3.9699999999999996E-3</v>
      </c>
      <c r="J509" s="1">
        <v>0</v>
      </c>
      <c r="K509" s="1">
        <v>24721.19816</v>
      </c>
      <c r="L509">
        <v>6231538.9494000003</v>
      </c>
      <c r="M509">
        <v>-851482.41388000001</v>
      </c>
      <c r="N509">
        <v>10115.31444</v>
      </c>
      <c r="O509">
        <v>-851580.97334999999</v>
      </c>
      <c r="P509">
        <v>7157117.2866399996</v>
      </c>
      <c r="Q509">
        <v>24907.8341</v>
      </c>
      <c r="R509">
        <v>186.63594000000001</v>
      </c>
      <c r="S509">
        <v>985.59474</v>
      </c>
      <c r="T509">
        <v>-0.15226000000000001</v>
      </c>
      <c r="U509">
        <f t="shared" si="49"/>
        <v>-3011.0889614209595</v>
      </c>
      <c r="V509">
        <f t="shared" si="50"/>
        <v>3.395410095286437</v>
      </c>
      <c r="W509">
        <f t="shared" si="51"/>
        <v>6.1897609745069256E-2</v>
      </c>
      <c r="X509">
        <f t="shared" si="52"/>
        <v>1</v>
      </c>
      <c r="Y509">
        <f t="shared" si="53"/>
        <v>1</v>
      </c>
      <c r="Z509">
        <f t="shared" si="54"/>
        <v>0</v>
      </c>
      <c r="AA509">
        <f t="shared" si="55"/>
        <v>1</v>
      </c>
    </row>
    <row r="510" spans="1:27" x14ac:dyDescent="0.35">
      <c r="A510" s="1">
        <v>-18.585498788868399</v>
      </c>
      <c r="B510" s="1">
        <v>-20.4068274273409</v>
      </c>
      <c r="C510" s="1">
        <v>-3.6236654857660002E-3</v>
      </c>
      <c r="D510" s="1">
        <v>0.10935</v>
      </c>
      <c r="E510" s="1">
        <v>0.10589999999999999</v>
      </c>
      <c r="F510" s="1">
        <v>-2.4860799999999998</v>
      </c>
      <c r="G510" s="1">
        <v>1.6242399999999999</v>
      </c>
      <c r="H510" s="1">
        <v>0.14110458830005801</v>
      </c>
      <c r="I510" s="1">
        <v>1.789E-2</v>
      </c>
      <c r="J510" s="1">
        <v>-7991861.7073499998</v>
      </c>
      <c r="K510" s="1">
        <v>3759253.7116800002</v>
      </c>
      <c r="L510">
        <v>210078536.00064</v>
      </c>
      <c r="M510">
        <v>-16898387.930270001</v>
      </c>
      <c r="N510">
        <v>15261172.035490001</v>
      </c>
      <c r="O510">
        <v>-20101153.180020001</v>
      </c>
      <c r="P510">
        <v>222467.35954999999</v>
      </c>
      <c r="Q510">
        <v>9781418.1255799998</v>
      </c>
      <c r="R510">
        <v>6022164.4139099997</v>
      </c>
      <c r="S510">
        <v>-391917.67641000001</v>
      </c>
      <c r="T510">
        <v>-1.6999999999999999E-3</v>
      </c>
      <c r="U510">
        <f t="shared" si="49"/>
        <v>-1.8102192634336463</v>
      </c>
      <c r="V510">
        <f t="shared" si="50"/>
        <v>-3.8568889436354019</v>
      </c>
      <c r="W510">
        <f t="shared" si="51"/>
        <v>7.8644583447012348E-2</v>
      </c>
      <c r="X510">
        <f t="shared" si="52"/>
        <v>1</v>
      </c>
      <c r="Y510">
        <f t="shared" si="53"/>
        <v>0</v>
      </c>
      <c r="Z510">
        <f t="shared" si="54"/>
        <v>0</v>
      </c>
      <c r="AA510">
        <f t="shared" si="55"/>
        <v>0</v>
      </c>
    </row>
    <row r="511" spans="1:27" x14ac:dyDescent="0.35">
      <c r="A511" s="1">
        <v>-3.01090762799004</v>
      </c>
      <c r="B511" s="1">
        <v>-3.9654387547777001</v>
      </c>
      <c r="C511" s="1">
        <v>9.1407043110369995E-3</v>
      </c>
      <c r="D511" s="1">
        <v>24.315200000000001</v>
      </c>
      <c r="E511" s="1">
        <v>17.464379999999998</v>
      </c>
      <c r="F511" s="1">
        <v>0.37436999999999998</v>
      </c>
      <c r="G511" s="1">
        <v>1.6229499999999999</v>
      </c>
      <c r="H511" s="1">
        <v>6.9807334252056E-2</v>
      </c>
      <c r="I511" s="1">
        <v>0.15098</v>
      </c>
      <c r="J511" s="1">
        <v>11427130.69899</v>
      </c>
      <c r="K511" s="1">
        <v>78757388.579569995</v>
      </c>
      <c r="L511">
        <v>521652410.53748</v>
      </c>
      <c r="M511">
        <v>-9326080.96875</v>
      </c>
      <c r="N511">
        <v>25540093.383779999</v>
      </c>
      <c r="O511">
        <v>-11015871.442840001</v>
      </c>
      <c r="P511">
        <v>91103348.232089996</v>
      </c>
      <c r="Q511">
        <v>205184342.03275999</v>
      </c>
      <c r="R511">
        <v>126426953.45319</v>
      </c>
      <c r="S511">
        <v>3344268.1087699998</v>
      </c>
      <c r="T511">
        <v>-2.1229999999999999E-2</v>
      </c>
      <c r="U511">
        <f t="shared" si="49"/>
        <v>0.14608562696870594</v>
      </c>
      <c r="V511">
        <f t="shared" si="50"/>
        <v>-3.203010983330207</v>
      </c>
      <c r="W511">
        <f t="shared" si="51"/>
        <v>0.3275965179189298</v>
      </c>
      <c r="X511">
        <f t="shared" si="52"/>
        <v>1</v>
      </c>
      <c r="Y511">
        <f t="shared" si="53"/>
        <v>0</v>
      </c>
      <c r="Z511">
        <f t="shared" si="54"/>
        <v>0</v>
      </c>
      <c r="AA511">
        <f t="shared" si="55"/>
        <v>0</v>
      </c>
    </row>
    <row r="512" spans="1:27" x14ac:dyDescent="0.35">
      <c r="A512" s="1">
        <v>-1.4970414552033899</v>
      </c>
      <c r="B512" s="1">
        <v>-1.9611490384264301</v>
      </c>
      <c r="C512" s="1">
        <v>5.5268413795630002E-3</v>
      </c>
      <c r="D512" s="1">
        <v>6.6921499999999998</v>
      </c>
      <c r="E512" s="1">
        <v>5.55124</v>
      </c>
      <c r="F512" s="1">
        <v>0.19341</v>
      </c>
      <c r="G512" s="1">
        <v>1.0855600000000001</v>
      </c>
      <c r="H512" s="1">
        <v>8.2862476348354003E-2</v>
      </c>
      <c r="I512" s="1">
        <v>1.234E-2</v>
      </c>
      <c r="J512" s="1">
        <v>18802481.05051</v>
      </c>
      <c r="K512" s="1">
        <v>5126379.6909499997</v>
      </c>
      <c r="L512">
        <v>415448896.24724001</v>
      </c>
      <c r="M512">
        <v>-10735442.00171</v>
      </c>
      <c r="N512">
        <v>38825267.434730001</v>
      </c>
      <c r="O512">
        <v>-7014397.5199100003</v>
      </c>
      <c r="P512">
        <v>23062582.781459998</v>
      </c>
      <c r="Q512">
        <v>65044701.986749999</v>
      </c>
      <c r="R512">
        <v>59918322.295809999</v>
      </c>
      <c r="S512">
        <v>2589605.1395899998</v>
      </c>
      <c r="T512">
        <v>-4.2790000000000002E-2</v>
      </c>
      <c r="U512">
        <f t="shared" si="49"/>
        <v>-4.9023631475991439E-2</v>
      </c>
      <c r="V512">
        <f t="shared" si="50"/>
        <v>-3.9032593068253618</v>
      </c>
      <c r="W512">
        <f t="shared" si="51"/>
        <v>9.8307877286308493E-2</v>
      </c>
      <c r="X512">
        <f t="shared" si="52"/>
        <v>1</v>
      </c>
      <c r="Y512">
        <f t="shared" si="53"/>
        <v>0</v>
      </c>
      <c r="Z512">
        <f t="shared" si="54"/>
        <v>0</v>
      </c>
      <c r="AA512">
        <f t="shared" si="55"/>
        <v>0</v>
      </c>
    </row>
    <row r="513" spans="1:27" x14ac:dyDescent="0.35">
      <c r="A513" s="1">
        <v>0.206527533141629</v>
      </c>
      <c r="B513" s="1">
        <v>0.24919162951998899</v>
      </c>
      <c r="C513" s="1">
        <v>2.956176925378E-3</v>
      </c>
      <c r="D513" s="1">
        <v>9.9686599999999999</v>
      </c>
      <c r="E513" s="1">
        <v>8.3438400000000001</v>
      </c>
      <c r="F513" s="1">
        <v>0.2273</v>
      </c>
      <c r="G513" s="1">
        <v>2.1064500000000002</v>
      </c>
      <c r="H513" s="1">
        <v>8.5072339975097999E-2</v>
      </c>
      <c r="I513" s="1">
        <v>0.15026999999999999</v>
      </c>
      <c r="J513" s="1">
        <v>-968683</v>
      </c>
      <c r="K513" s="1">
        <v>72024572</v>
      </c>
      <c r="L513">
        <v>479298633</v>
      </c>
      <c r="M513">
        <v>949957</v>
      </c>
      <c r="N513">
        <v>38059133</v>
      </c>
      <c r="O513">
        <v>923950</v>
      </c>
      <c r="P513">
        <v>39991925</v>
      </c>
      <c r="Q513">
        <v>137119703</v>
      </c>
      <c r="R513">
        <v>65095131</v>
      </c>
      <c r="S513">
        <v>1322516</v>
      </c>
      <c r="T513">
        <v>-3.5630000000000002E-2</v>
      </c>
      <c r="U513">
        <f t="shared" si="49"/>
        <v>0.20464383252228985</v>
      </c>
      <c r="V513">
        <f t="shared" si="50"/>
        <v>-3.8246498568339207</v>
      </c>
      <c r="W513">
        <f t="shared" si="51"/>
        <v>0.31437017168584325</v>
      </c>
      <c r="X513">
        <f t="shared" si="52"/>
        <v>1</v>
      </c>
      <c r="Y513">
        <f t="shared" si="53"/>
        <v>0</v>
      </c>
      <c r="Z513">
        <f t="shared" si="54"/>
        <v>0</v>
      </c>
      <c r="AA513">
        <f t="shared" si="55"/>
        <v>0</v>
      </c>
    </row>
    <row r="514" spans="1:27" x14ac:dyDescent="0.35">
      <c r="A514" s="1">
        <v>2.8640601407773598</v>
      </c>
      <c r="B514" s="1">
        <v>5.62880532882971</v>
      </c>
      <c r="C514" s="1">
        <v>0.10677532918136701</v>
      </c>
      <c r="D514" s="1">
        <v>79.496880000000004</v>
      </c>
      <c r="E514" s="1">
        <v>30.127269999999999</v>
      </c>
      <c r="F514" s="1">
        <v>2.5227499999999998</v>
      </c>
      <c r="G514" s="1">
        <v>0.18708</v>
      </c>
      <c r="H514" s="1">
        <v>0.225606013888345</v>
      </c>
      <c r="I514" s="1">
        <v>-0.17288000000000001</v>
      </c>
      <c r="J514" s="1">
        <v>120670288</v>
      </c>
      <c r="K514" s="1">
        <v>-209237699</v>
      </c>
      <c r="L514">
        <v>1210330342</v>
      </c>
      <c r="M514">
        <v>43221523</v>
      </c>
      <c r="N514">
        <v>190595229</v>
      </c>
      <c r="O514">
        <v>24195995</v>
      </c>
      <c r="P514">
        <v>364639549</v>
      </c>
      <c r="Q514">
        <v>48151095</v>
      </c>
      <c r="R514">
        <v>257388794</v>
      </c>
      <c r="S514">
        <v>90205345</v>
      </c>
      <c r="T514">
        <v>-4.0000000000000003E-5</v>
      </c>
      <c r="U514">
        <f t="shared" ref="U514:U577" si="56">1.03*(K514/L514) + 3.07*(S514/L514) + 0.66*(M514/R514) +0.4*(N514/L514)</f>
        <v>0.22456155717027415</v>
      </c>
      <c r="V514">
        <f t="shared" ref="V514:V577" si="57">-4.3-4.5*(O514/L514)+5.7*(P514/L514)+0.004*(Q514/R514)</f>
        <v>-2.6719575761744045</v>
      </c>
      <c r="W514">
        <f t="shared" ref="W514:W577" si="58">0.057+1.65*(K514/L514)+3.404*(S514/L514)+0.016*(O514/L514)</f>
        <v>2.5772101517719373E-2</v>
      </c>
      <c r="X514">
        <f t="shared" si="52"/>
        <v>1</v>
      </c>
      <c r="Y514">
        <f t="shared" si="53"/>
        <v>0</v>
      </c>
      <c r="Z514">
        <f t="shared" si="54"/>
        <v>0</v>
      </c>
      <c r="AA514">
        <f t="shared" si="55"/>
        <v>0</v>
      </c>
    </row>
    <row r="515" spans="1:27" x14ac:dyDescent="0.35">
      <c r="A515" s="1">
        <v>0.64062173442952497</v>
      </c>
      <c r="B515" s="1">
        <v>1.80185053358077</v>
      </c>
      <c r="C515" s="1">
        <v>-1.0431031013455E-2</v>
      </c>
      <c r="D515" s="1">
        <v>97.277389999999997</v>
      </c>
      <c r="E515" s="1">
        <v>32.138339999999999</v>
      </c>
      <c r="F515" s="1">
        <v>-0.20433999999999999</v>
      </c>
      <c r="G515" s="1">
        <v>0.28392000000000001</v>
      </c>
      <c r="H515" s="1">
        <v>1.6192680944501998E-2</v>
      </c>
      <c r="I515" s="1">
        <v>-0.27696999999999999</v>
      </c>
      <c r="J515" s="1">
        <v>-45160947</v>
      </c>
      <c r="K515" s="1">
        <v>-385750469</v>
      </c>
      <c r="L515">
        <v>1392770537</v>
      </c>
      <c r="M515">
        <v>7991324</v>
      </c>
      <c r="N515">
        <v>21075591</v>
      </c>
      <c r="O515">
        <v>8338015</v>
      </c>
      <c r="P515">
        <v>447613382</v>
      </c>
      <c r="Q515">
        <v>152946320</v>
      </c>
      <c r="R515">
        <v>538696789</v>
      </c>
      <c r="S515">
        <v>-13576513</v>
      </c>
      <c r="T515">
        <v>3.8E-3</v>
      </c>
      <c r="U515">
        <f t="shared" si="56"/>
        <v>-0.29935749595631755</v>
      </c>
      <c r="V515">
        <f t="shared" si="57"/>
        <v>-2.4939186105437416</v>
      </c>
      <c r="W515">
        <f t="shared" si="58"/>
        <v>-0.43308023771973286</v>
      </c>
      <c r="X515">
        <f t="shared" ref="X515:X578" si="59">IF(U515&gt;=0.862,0,1)</f>
        <v>1</v>
      </c>
      <c r="Y515">
        <f t="shared" ref="Y515:Y578" si="60">IF(V515&lt;=0,0,1)</f>
        <v>0</v>
      </c>
      <c r="Z515">
        <f t="shared" ref="Z515:Z578" si="61">IF(W515&gt;=0.01,0,1)</f>
        <v>1</v>
      </c>
      <c r="AA515">
        <f t="shared" ref="AA515:AA578" si="62">IF(SUM(X515:Z515)&gt;=2,1,0)</f>
        <v>1</v>
      </c>
    </row>
    <row r="516" spans="1:27" x14ac:dyDescent="0.35">
      <c r="A516" s="1">
        <v>0.249868949349911</v>
      </c>
      <c r="B516" s="1">
        <v>1.2399476000348799</v>
      </c>
      <c r="C516" s="1">
        <v>-2.0771340341259999E-2</v>
      </c>
      <c r="D516" s="1">
        <v>102.86185</v>
      </c>
      <c r="E516" s="1">
        <v>34.731380000000001</v>
      </c>
      <c r="F516" s="1">
        <v>-0.55286000000000002</v>
      </c>
      <c r="G516" s="1">
        <v>0.33550999999999997</v>
      </c>
      <c r="H516" s="1">
        <v>6.9747832214540001E-3</v>
      </c>
      <c r="I516" s="1">
        <v>-0.21281</v>
      </c>
      <c r="J516" s="1">
        <v>-8197252</v>
      </c>
      <c r="K516" s="1">
        <v>-293747510</v>
      </c>
      <c r="L516">
        <v>1380302315</v>
      </c>
      <c r="M516">
        <v>2189228</v>
      </c>
      <c r="N516">
        <v>9670791</v>
      </c>
      <c r="O516">
        <v>3464524</v>
      </c>
      <c r="P516">
        <v>479398099</v>
      </c>
      <c r="Q516">
        <v>148317382</v>
      </c>
      <c r="R516">
        <v>442064892</v>
      </c>
      <c r="S516">
        <v>-28800220</v>
      </c>
      <c r="T516">
        <v>4.5900000000000003E-3</v>
      </c>
      <c r="U516">
        <f t="shared" si="56"/>
        <v>-0.27718331536157642</v>
      </c>
      <c r="V516">
        <f t="shared" si="57"/>
        <v>-2.330263950116676</v>
      </c>
      <c r="W516">
        <f t="shared" si="58"/>
        <v>-0.36512774814914367</v>
      </c>
      <c r="X516">
        <f t="shared" si="59"/>
        <v>1</v>
      </c>
      <c r="Y516">
        <f t="shared" si="60"/>
        <v>0</v>
      </c>
      <c r="Z516">
        <f t="shared" si="61"/>
        <v>1</v>
      </c>
      <c r="AA516">
        <f t="shared" si="62"/>
        <v>1</v>
      </c>
    </row>
    <row r="517" spans="1:27" x14ac:dyDescent="0.35">
      <c r="A517" s="1">
        <v>-13.229860537913099</v>
      </c>
      <c r="B517" s="1">
        <v>-56.467517477704298</v>
      </c>
      <c r="C517" s="1">
        <v>-4.4146073737984001E-2</v>
      </c>
      <c r="D517" s="1">
        <v>337.762</v>
      </c>
      <c r="E517" s="1">
        <v>39.568660000000001</v>
      </c>
      <c r="F517" s="1">
        <v>-0.86883999999999995</v>
      </c>
      <c r="G517" s="1">
        <v>4.351E-2</v>
      </c>
      <c r="H517" s="1">
        <v>1.765252244732E-3</v>
      </c>
      <c r="I517" s="1">
        <v>-0.47470000000000001</v>
      </c>
      <c r="J517" s="1">
        <v>-13356146</v>
      </c>
      <c r="K517" s="1">
        <v>-583170900</v>
      </c>
      <c r="L517">
        <v>1228513515</v>
      </c>
      <c r="M517">
        <v>-172642217</v>
      </c>
      <c r="N517">
        <v>2302609</v>
      </c>
      <c r="O517" s="1">
        <v>-172571348</v>
      </c>
      <c r="P517">
        <v>486106390</v>
      </c>
      <c r="Q517">
        <v>26530212</v>
      </c>
      <c r="R517">
        <v>609701112</v>
      </c>
      <c r="S517">
        <v>-57584488</v>
      </c>
      <c r="T517">
        <v>-0.25821</v>
      </c>
      <c r="U517">
        <f t="shared" si="56"/>
        <v>-0.81897336692249578</v>
      </c>
      <c r="V517">
        <f t="shared" si="57"/>
        <v>-1.412289548925632</v>
      </c>
      <c r="W517">
        <f t="shared" si="58"/>
        <v>-0.88805327743179108</v>
      </c>
      <c r="X517">
        <f t="shared" si="59"/>
        <v>1</v>
      </c>
      <c r="Y517">
        <f t="shared" si="60"/>
        <v>0</v>
      </c>
      <c r="Z517">
        <f t="shared" si="61"/>
        <v>1</v>
      </c>
      <c r="AA517">
        <f t="shared" si="62"/>
        <v>1</v>
      </c>
    </row>
    <row r="518" spans="1:27" x14ac:dyDescent="0.35">
      <c r="A518" s="1">
        <v>5.1019654501905602</v>
      </c>
      <c r="B518" s="1">
        <v>36.227271585537899</v>
      </c>
      <c r="C518" s="1">
        <v>-4.0247742158039997E-3</v>
      </c>
      <c r="D518" s="1">
        <v>215.58628999999999</v>
      </c>
      <c r="E518" s="1">
        <v>35.311439999999997</v>
      </c>
      <c r="F518" s="1">
        <v>-0.22217000000000001</v>
      </c>
      <c r="G518" s="1">
        <v>0.20942</v>
      </c>
      <c r="H518" s="1">
        <v>2.5401585698999998E-3</v>
      </c>
      <c r="I518" s="1">
        <v>-0.39112000000000002</v>
      </c>
      <c r="J518" s="1">
        <v>-126421105</v>
      </c>
      <c r="K518" s="1">
        <v>-525453212</v>
      </c>
      <c r="L518" s="1">
        <v>1343474737</v>
      </c>
      <c r="M518" s="1">
        <v>65011651</v>
      </c>
      <c r="N518" s="1">
        <v>3266629</v>
      </c>
      <c r="O518" s="1">
        <v>65610976</v>
      </c>
      <c r="P518" s="1">
        <v>474400224</v>
      </c>
      <c r="Q518" s="1">
        <v>139190191</v>
      </c>
      <c r="R518" s="1">
        <v>664643403</v>
      </c>
      <c r="S518" s="1">
        <v>-5175836</v>
      </c>
      <c r="T518" s="1">
        <v>-0.19077</v>
      </c>
      <c r="U518">
        <f t="shared" si="56"/>
        <v>-0.34914587097083705</v>
      </c>
      <c r="V518">
        <f t="shared" si="57"/>
        <v>-2.5061759518425006</v>
      </c>
      <c r="W518">
        <f t="shared" si="58"/>
        <v>-0.60067263469428367</v>
      </c>
      <c r="X518">
        <f t="shared" si="59"/>
        <v>1</v>
      </c>
      <c r="Y518">
        <f t="shared" si="60"/>
        <v>0</v>
      </c>
      <c r="Z518">
        <f t="shared" si="61"/>
        <v>1</v>
      </c>
      <c r="AA518">
        <f t="shared" si="62"/>
        <v>1</v>
      </c>
    </row>
    <row r="519" spans="1:27" x14ac:dyDescent="0.35">
      <c r="A519" s="1">
        <v>1.70680314783424</v>
      </c>
      <c r="B519" s="1">
        <v>8.1513413058158797</v>
      </c>
      <c r="C519" s="1">
        <v>3.9164745020987997E-2</v>
      </c>
      <c r="D519" s="1">
        <v>123.40595999999999</v>
      </c>
      <c r="E519" s="1">
        <v>37.175359999999998</v>
      </c>
      <c r="F519" s="1">
        <v>0.54488000000000003</v>
      </c>
      <c r="G519" s="1">
        <v>0.58467999999999998</v>
      </c>
      <c r="H519" s="1">
        <v>2.1208643677308001E-2</v>
      </c>
      <c r="I519" s="1">
        <v>-0.16472000000000001</v>
      </c>
      <c r="J519" s="1">
        <v>-34925434</v>
      </c>
      <c r="K519" s="1">
        <v>-200591944</v>
      </c>
      <c r="L519" s="1">
        <v>1217756185</v>
      </c>
      <c r="M519" s="1">
        <v>26635955</v>
      </c>
      <c r="N519" s="1">
        <v>27160117</v>
      </c>
      <c r="O519" s="1">
        <v>21857585</v>
      </c>
      <c r="P519" s="1">
        <v>452705230</v>
      </c>
      <c r="Q519" s="1">
        <v>282388791</v>
      </c>
      <c r="R519" s="1">
        <v>482980735</v>
      </c>
      <c r="S519" s="1">
        <v>50154978</v>
      </c>
      <c r="T519" s="1">
        <v>-0.19631000000000001</v>
      </c>
      <c r="U519">
        <f t="shared" si="56"/>
        <v>2.0977224961562044E-3</v>
      </c>
      <c r="V519">
        <f t="shared" si="57"/>
        <v>-2.2594366294590262</v>
      </c>
      <c r="W519">
        <f t="shared" si="58"/>
        <v>-7.4306613834197024E-2</v>
      </c>
      <c r="X519">
        <f t="shared" si="59"/>
        <v>1</v>
      </c>
      <c r="Y519">
        <f t="shared" si="60"/>
        <v>0</v>
      </c>
      <c r="Z519">
        <f t="shared" si="61"/>
        <v>1</v>
      </c>
      <c r="AA519">
        <f t="shared" si="62"/>
        <v>1</v>
      </c>
    </row>
    <row r="520" spans="1:27" x14ac:dyDescent="0.35">
      <c r="A520" s="1">
        <v>2.2204088304358698</v>
      </c>
      <c r="B520" s="1">
        <v>7.5247610185227396</v>
      </c>
      <c r="C520" s="1">
        <v>3.6862297633406003E-2</v>
      </c>
      <c r="D520" s="1">
        <v>107.27701999999999</v>
      </c>
      <c r="E520" s="1">
        <v>31.105340000000002</v>
      </c>
      <c r="F520" s="1">
        <v>0.73012999999999995</v>
      </c>
      <c r="G520" s="1">
        <v>1.1670499999999999</v>
      </c>
      <c r="H520" s="1">
        <v>5.7368799601858998E-2</v>
      </c>
      <c r="I520" s="1">
        <v>4.002E-2</v>
      </c>
      <c r="J520" s="1">
        <v>7663590</v>
      </c>
      <c r="K520" s="1">
        <v>50166303</v>
      </c>
      <c r="L520">
        <v>1253551407</v>
      </c>
      <c r="M520">
        <v>38151128</v>
      </c>
      <c r="N520">
        <v>70887975</v>
      </c>
      <c r="O520" s="1">
        <v>27436566</v>
      </c>
      <c r="P520">
        <v>389921406</v>
      </c>
      <c r="Q520">
        <v>350474151</v>
      </c>
      <c r="R520">
        <v>300307848</v>
      </c>
      <c r="S520">
        <v>45549038</v>
      </c>
      <c r="T520">
        <v>-0.17366000000000001</v>
      </c>
      <c r="U520">
        <f t="shared" si="56"/>
        <v>0.25923775598242382</v>
      </c>
      <c r="V520">
        <f t="shared" si="57"/>
        <v>-2.6208193281344219</v>
      </c>
      <c r="W520">
        <f t="shared" si="58"/>
        <v>0.24706983600952548</v>
      </c>
      <c r="X520">
        <f t="shared" si="59"/>
        <v>1</v>
      </c>
      <c r="Y520">
        <f t="shared" si="60"/>
        <v>0</v>
      </c>
      <c r="Z520">
        <f t="shared" si="61"/>
        <v>0</v>
      </c>
      <c r="AA520">
        <f t="shared" si="62"/>
        <v>0</v>
      </c>
    </row>
    <row r="521" spans="1:27" x14ac:dyDescent="0.35">
      <c r="A521" s="1">
        <v>2.0826391396599302</v>
      </c>
      <c r="B521" s="1">
        <v>6.89454776933849</v>
      </c>
      <c r="C521" s="1">
        <v>4.2623226425304001E-2</v>
      </c>
      <c r="D521" s="1">
        <v>99.070459999999997</v>
      </c>
      <c r="E521" s="1">
        <v>28.42803</v>
      </c>
      <c r="F521" s="1">
        <v>0.95023999999999997</v>
      </c>
      <c r="G521" s="1">
        <v>0.38018999999999997</v>
      </c>
      <c r="H521" s="1">
        <v>6.0458019314695001E-2</v>
      </c>
      <c r="I521" s="1">
        <v>-0.23598</v>
      </c>
      <c r="J521" s="1">
        <v>20745838</v>
      </c>
      <c r="K521" s="1">
        <v>-317083339</v>
      </c>
      <c r="L521">
        <v>1343685482</v>
      </c>
      <c r="M521">
        <v>38733525</v>
      </c>
      <c r="N521">
        <v>78511899</v>
      </c>
      <c r="O521" s="1">
        <v>27045536</v>
      </c>
      <c r="P521">
        <v>381983318</v>
      </c>
      <c r="Q521">
        <v>194494635</v>
      </c>
      <c r="R521">
        <v>511577974</v>
      </c>
      <c r="S521">
        <v>55351308</v>
      </c>
      <c r="T521">
        <v>-0.15057999999999999</v>
      </c>
      <c r="U521">
        <f t="shared" si="56"/>
        <v>-4.3252003999953381E-2</v>
      </c>
      <c r="V521">
        <f t="shared" si="57"/>
        <v>-2.768656967543857</v>
      </c>
      <c r="W521">
        <f t="shared" si="58"/>
        <v>-0.19182231208180905</v>
      </c>
      <c r="X521">
        <f t="shared" si="59"/>
        <v>1</v>
      </c>
      <c r="Y521">
        <f t="shared" si="60"/>
        <v>0</v>
      </c>
      <c r="Z521">
        <f t="shared" si="61"/>
        <v>1</v>
      </c>
      <c r="AA521">
        <f t="shared" si="62"/>
        <v>1</v>
      </c>
    </row>
    <row r="522" spans="1:27" x14ac:dyDescent="0.35">
      <c r="A522" s="1">
        <v>1.9062140351130701</v>
      </c>
      <c r="B522" s="1">
        <v>4.6284963020713397</v>
      </c>
      <c r="C522" s="1">
        <v>3.7456873698792997E-2</v>
      </c>
      <c r="D522" s="1">
        <v>83.269099999999995</v>
      </c>
      <c r="E522" s="1">
        <v>35.426519999999996</v>
      </c>
      <c r="F522" s="1">
        <v>0.83592</v>
      </c>
      <c r="G522" s="1">
        <v>0.48320999999999997</v>
      </c>
      <c r="H522" s="1">
        <v>5.7106369165760999E-2</v>
      </c>
      <c r="I522" s="1">
        <v>-0.23094999999999999</v>
      </c>
      <c r="J522" s="1">
        <v>14819075</v>
      </c>
      <c r="K522" s="1">
        <v>-220160136</v>
      </c>
      <c r="L522">
        <v>953299704</v>
      </c>
      <c r="M522">
        <v>31508139</v>
      </c>
      <c r="N522">
        <v>65586242</v>
      </c>
      <c r="O522" s="1">
        <v>21892727</v>
      </c>
      <c r="P522">
        <v>337720880</v>
      </c>
      <c r="Q522">
        <v>205856480</v>
      </c>
      <c r="R522">
        <v>426016616</v>
      </c>
      <c r="S522">
        <v>43018942</v>
      </c>
      <c r="T522">
        <v>-0.19774</v>
      </c>
      <c r="U522">
        <f t="shared" si="56"/>
        <v>-2.3002603003021028E-2</v>
      </c>
      <c r="V522">
        <f t="shared" si="57"/>
        <v>-2.3820991326249397</v>
      </c>
      <c r="W522">
        <f t="shared" si="58"/>
        <v>-0.17008227149517713</v>
      </c>
      <c r="X522">
        <f t="shared" si="59"/>
        <v>1</v>
      </c>
      <c r="Y522">
        <f t="shared" si="60"/>
        <v>0</v>
      </c>
      <c r="Z522">
        <f t="shared" si="61"/>
        <v>1</v>
      </c>
      <c r="AA522">
        <f t="shared" si="62"/>
        <v>1</v>
      </c>
    </row>
    <row r="523" spans="1:27" x14ac:dyDescent="0.35">
      <c r="A523" s="1">
        <v>1.3978171822117</v>
      </c>
      <c r="B523" s="1">
        <v>5.7625847679464E-2</v>
      </c>
      <c r="C523" s="1">
        <v>1.1916594825156E-2</v>
      </c>
      <c r="D523" s="1">
        <v>71.467939999999999</v>
      </c>
      <c r="E523" s="1">
        <v>32.96754</v>
      </c>
      <c r="F523" s="1">
        <v>0.25468000000000002</v>
      </c>
      <c r="G523" s="1">
        <v>0.55567</v>
      </c>
      <c r="H523" s="1">
        <v>4.2530523752223999E-2</v>
      </c>
      <c r="I523" s="1">
        <v>-0.19298000000000001</v>
      </c>
      <c r="J523" s="1">
        <v>19761848</v>
      </c>
      <c r="K523" s="1">
        <v>-212812794</v>
      </c>
      <c r="L523">
        <v>1102769027</v>
      </c>
      <c r="M523">
        <v>22341103</v>
      </c>
      <c r="N523">
        <v>43722840</v>
      </c>
      <c r="O523" s="1">
        <v>14370041</v>
      </c>
      <c r="P523">
        <v>363555796</v>
      </c>
      <c r="Q523">
        <v>266140892</v>
      </c>
      <c r="R523">
        <v>478953686</v>
      </c>
      <c r="S523">
        <v>12250669</v>
      </c>
      <c r="T523">
        <v>-0.19833999999999999</v>
      </c>
      <c r="U523">
        <f t="shared" si="56"/>
        <v>-0.1180197301928286</v>
      </c>
      <c r="V523">
        <f t="shared" si="57"/>
        <v>-2.4772665784319838</v>
      </c>
      <c r="W523">
        <f t="shared" si="58"/>
        <v>-0.22339408488755094</v>
      </c>
      <c r="X523">
        <f t="shared" si="59"/>
        <v>1</v>
      </c>
      <c r="Y523">
        <f t="shared" si="60"/>
        <v>0</v>
      </c>
      <c r="Z523">
        <f t="shared" si="61"/>
        <v>1</v>
      </c>
      <c r="AA523">
        <f t="shared" si="62"/>
        <v>1</v>
      </c>
    </row>
    <row r="524" spans="1:27" x14ac:dyDescent="0.35">
      <c r="A524" s="1">
        <v>0.59232113667978004</v>
      </c>
      <c r="B524" s="1">
        <v>1.54417234340561</v>
      </c>
      <c r="C524" s="1">
        <v>7.0275538380665997E-2</v>
      </c>
      <c r="D524" s="1">
        <v>129.72290000000001</v>
      </c>
      <c r="E524" s="1">
        <v>42.87668</v>
      </c>
      <c r="F524" s="1">
        <v>1.21245</v>
      </c>
      <c r="G524" s="1">
        <v>0.77922000000000002</v>
      </c>
      <c r="H524" s="1">
        <v>0.45593851074649999</v>
      </c>
      <c r="I524" s="1">
        <v>-0.12361</v>
      </c>
      <c r="J524" s="1">
        <v>151996718</v>
      </c>
      <c r="K524" s="1">
        <v>-216708138</v>
      </c>
      <c r="L524">
        <v>1753140876</v>
      </c>
      <c r="M524">
        <v>36856749</v>
      </c>
      <c r="N524">
        <v>651059654</v>
      </c>
      <c r="O524" s="1">
        <v>8458079</v>
      </c>
      <c r="P524">
        <v>751688672</v>
      </c>
      <c r="Q524">
        <v>764869839</v>
      </c>
      <c r="R524">
        <v>981577977</v>
      </c>
      <c r="S524">
        <v>100350303</v>
      </c>
      <c r="T524">
        <v>-0.12055</v>
      </c>
      <c r="U524">
        <f t="shared" si="56"/>
        <v>0.22173701633486401</v>
      </c>
      <c r="V524">
        <f t="shared" si="57"/>
        <v>-1.8746224983701731</v>
      </c>
      <c r="W524">
        <f t="shared" si="58"/>
        <v>4.7964407229986933E-2</v>
      </c>
      <c r="X524">
        <f t="shared" si="59"/>
        <v>1</v>
      </c>
      <c r="Y524">
        <f t="shared" si="60"/>
        <v>0</v>
      </c>
      <c r="Z524">
        <f t="shared" si="61"/>
        <v>0</v>
      </c>
      <c r="AA524">
        <f t="shared" si="62"/>
        <v>0</v>
      </c>
    </row>
    <row r="525" spans="1:27" x14ac:dyDescent="0.35">
      <c r="A525" s="1">
        <v>0.60488962237073796</v>
      </c>
      <c r="B525" s="1">
        <v>1.4208191024246699</v>
      </c>
      <c r="C525" s="1">
        <v>5.6457001732437999E-2</v>
      </c>
      <c r="D525" s="1">
        <v>116.383</v>
      </c>
      <c r="E525" s="1">
        <v>40.722299999999997</v>
      </c>
      <c r="F525" s="1">
        <v>1.1516599999999999</v>
      </c>
      <c r="G525" s="1">
        <v>1.0081599999999999</v>
      </c>
      <c r="H525" s="1">
        <v>0.32698959623587698</v>
      </c>
      <c r="I525" s="1">
        <v>2.8600000000000001E-3</v>
      </c>
      <c r="J525" s="1">
        <v>65484182</v>
      </c>
      <c r="K525" s="1">
        <v>4836868</v>
      </c>
      <c r="L525">
        <v>1690202377</v>
      </c>
      <c r="M525">
        <v>41646543</v>
      </c>
      <c r="N525">
        <v>562968710</v>
      </c>
      <c r="O525" s="1">
        <v>10414213</v>
      </c>
      <c r="P525">
        <v>688289342</v>
      </c>
      <c r="Q525">
        <v>597871995</v>
      </c>
      <c r="R525">
        <v>593035127</v>
      </c>
      <c r="S525">
        <v>97200418</v>
      </c>
      <c r="T525">
        <v>-0.12028</v>
      </c>
      <c r="U525">
        <f t="shared" si="56"/>
        <v>0.35907789468666007</v>
      </c>
      <c r="V525">
        <f t="shared" si="57"/>
        <v>-2.0025229077592752</v>
      </c>
      <c r="W525">
        <f t="shared" si="58"/>
        <v>0.25757815980695431</v>
      </c>
      <c r="X525">
        <f t="shared" si="59"/>
        <v>1</v>
      </c>
      <c r="Y525">
        <f t="shared" si="60"/>
        <v>0</v>
      </c>
      <c r="Z525">
        <f t="shared" si="61"/>
        <v>0</v>
      </c>
      <c r="AA525">
        <f t="shared" si="62"/>
        <v>0</v>
      </c>
    </row>
    <row r="526" spans="1:27" x14ac:dyDescent="0.35">
      <c r="A526" s="1" t="s">
        <v>3</v>
      </c>
      <c r="B526" s="1" t="s">
        <v>3</v>
      </c>
      <c r="C526" s="1" t="s">
        <v>3</v>
      </c>
      <c r="D526" s="1" t="s">
        <v>3</v>
      </c>
      <c r="E526" s="1" t="s">
        <v>3</v>
      </c>
      <c r="F526" s="1" t="s">
        <v>3</v>
      </c>
      <c r="G526" s="1" t="s">
        <v>3</v>
      </c>
      <c r="H526" s="1" t="s">
        <v>3</v>
      </c>
      <c r="I526" s="1" t="s">
        <v>3</v>
      </c>
      <c r="J526" s="1" t="s">
        <v>3</v>
      </c>
      <c r="K526" s="1" t="s">
        <v>3</v>
      </c>
      <c r="L526" s="1" t="s">
        <v>3</v>
      </c>
      <c r="M526" s="1" t="s">
        <v>3</v>
      </c>
      <c r="N526" s="1" t="s">
        <v>3</v>
      </c>
      <c r="O526" s="1" t="s">
        <v>3</v>
      </c>
      <c r="P526" s="1" t="s">
        <v>3</v>
      </c>
      <c r="Q526" s="1" t="s">
        <v>3</v>
      </c>
      <c r="R526" s="1" t="s">
        <v>3</v>
      </c>
      <c r="S526" s="1" t="s">
        <v>3</v>
      </c>
      <c r="T526" s="1" t="s">
        <v>3</v>
      </c>
      <c r="U526" t="e">
        <f t="shared" si="56"/>
        <v>#VALUE!</v>
      </c>
      <c r="V526" t="e">
        <f t="shared" si="57"/>
        <v>#VALUE!</v>
      </c>
      <c r="W526" t="e">
        <f t="shared" si="58"/>
        <v>#VALUE!</v>
      </c>
      <c r="X526" t="e">
        <f t="shared" si="59"/>
        <v>#VALUE!</v>
      </c>
      <c r="Y526" t="e">
        <f t="shared" si="60"/>
        <v>#VALUE!</v>
      </c>
      <c r="Z526" t="e">
        <f t="shared" si="61"/>
        <v>#VALUE!</v>
      </c>
      <c r="AA526" t="e">
        <f t="shared" si="62"/>
        <v>#VALUE!</v>
      </c>
    </row>
    <row r="527" spans="1:27" x14ac:dyDescent="0.35">
      <c r="A527" s="1" t="s">
        <v>3</v>
      </c>
      <c r="B527" s="1" t="s">
        <v>3</v>
      </c>
      <c r="C527" s="1" t="s">
        <v>3</v>
      </c>
      <c r="D527" s="1" t="s">
        <v>3</v>
      </c>
      <c r="E527" s="1" t="s">
        <v>3</v>
      </c>
      <c r="F527" s="1" t="s">
        <v>3</v>
      </c>
      <c r="G527" s="1" t="s">
        <v>3</v>
      </c>
      <c r="H527" s="1" t="s">
        <v>3</v>
      </c>
      <c r="I527" s="1" t="s">
        <v>3</v>
      </c>
      <c r="J527" s="1" t="s">
        <v>3</v>
      </c>
      <c r="K527" s="1" t="s">
        <v>3</v>
      </c>
      <c r="L527" s="1" t="s">
        <v>3</v>
      </c>
      <c r="M527" s="1" t="s">
        <v>3</v>
      </c>
      <c r="N527" s="1" t="s">
        <v>3</v>
      </c>
      <c r="O527" s="1" t="s">
        <v>3</v>
      </c>
      <c r="P527" s="1" t="s">
        <v>3</v>
      </c>
      <c r="Q527" s="1" t="s">
        <v>3</v>
      </c>
      <c r="R527" s="1" t="s">
        <v>3</v>
      </c>
      <c r="S527" s="1" t="s">
        <v>3</v>
      </c>
      <c r="T527" s="1" t="s">
        <v>3</v>
      </c>
      <c r="U527" t="e">
        <f t="shared" si="56"/>
        <v>#VALUE!</v>
      </c>
      <c r="V527" t="e">
        <f t="shared" si="57"/>
        <v>#VALUE!</v>
      </c>
      <c r="W527" t="e">
        <f t="shared" si="58"/>
        <v>#VALUE!</v>
      </c>
      <c r="X527" t="e">
        <f t="shared" si="59"/>
        <v>#VALUE!</v>
      </c>
      <c r="Y527" t="e">
        <f t="shared" si="60"/>
        <v>#VALUE!</v>
      </c>
      <c r="Z527" t="e">
        <f t="shared" si="61"/>
        <v>#VALUE!</v>
      </c>
      <c r="AA527" t="e">
        <f t="shared" si="62"/>
        <v>#VALUE!</v>
      </c>
    </row>
    <row r="528" spans="1:27" x14ac:dyDescent="0.35">
      <c r="A528" s="1" t="s">
        <v>3</v>
      </c>
      <c r="B528" s="1" t="s">
        <v>3</v>
      </c>
      <c r="C528" s="1" t="s">
        <v>3</v>
      </c>
      <c r="D528" s="1" t="s">
        <v>3</v>
      </c>
      <c r="E528" s="1" t="s">
        <v>3</v>
      </c>
      <c r="F528" s="1" t="s">
        <v>3</v>
      </c>
      <c r="G528" s="1" t="s">
        <v>3</v>
      </c>
      <c r="H528" s="1" t="s">
        <v>3</v>
      </c>
      <c r="I528" s="1" t="s">
        <v>3</v>
      </c>
      <c r="J528" s="1" t="s">
        <v>3</v>
      </c>
      <c r="K528" s="1" t="s">
        <v>3</v>
      </c>
      <c r="L528" s="1" t="s">
        <v>3</v>
      </c>
      <c r="M528" s="1" t="s">
        <v>3</v>
      </c>
      <c r="N528" s="1" t="s">
        <v>3</v>
      </c>
      <c r="O528" s="1" t="s">
        <v>3</v>
      </c>
      <c r="P528" s="1" t="s">
        <v>3</v>
      </c>
      <c r="Q528" s="1" t="s">
        <v>3</v>
      </c>
      <c r="R528" s="1" t="s">
        <v>3</v>
      </c>
      <c r="S528" s="1" t="s">
        <v>3</v>
      </c>
      <c r="T528" s="1" t="s">
        <v>3</v>
      </c>
      <c r="U528" t="e">
        <f t="shared" si="56"/>
        <v>#VALUE!</v>
      </c>
      <c r="V528" t="e">
        <f t="shared" si="57"/>
        <v>#VALUE!</v>
      </c>
      <c r="W528" t="e">
        <f t="shared" si="58"/>
        <v>#VALUE!</v>
      </c>
      <c r="X528" t="e">
        <f t="shared" si="59"/>
        <v>#VALUE!</v>
      </c>
      <c r="Y528" t="e">
        <f t="shared" si="60"/>
        <v>#VALUE!</v>
      </c>
      <c r="Z528" t="e">
        <f t="shared" si="61"/>
        <v>#VALUE!</v>
      </c>
      <c r="AA528" t="e">
        <f t="shared" si="62"/>
        <v>#VALUE!</v>
      </c>
    </row>
    <row r="529" spans="1:27" x14ac:dyDescent="0.35">
      <c r="A529" s="1" t="s">
        <v>3</v>
      </c>
      <c r="B529" s="1" t="s">
        <v>3</v>
      </c>
      <c r="C529" s="1" t="s">
        <v>3</v>
      </c>
      <c r="D529" s="1" t="s">
        <v>3</v>
      </c>
      <c r="E529" s="1">
        <v>22.532060000000001</v>
      </c>
      <c r="F529" s="1" t="s">
        <v>3</v>
      </c>
      <c r="G529" s="1">
        <v>1.00803</v>
      </c>
      <c r="H529" s="1" t="s">
        <v>3</v>
      </c>
      <c r="I529" s="1">
        <v>7.43E-3</v>
      </c>
      <c r="J529" s="1">
        <v>-69565.590930000006</v>
      </c>
      <c r="K529" s="1">
        <v>6100.1064999999999</v>
      </c>
      <c r="L529">
        <v>820747.07134999998</v>
      </c>
      <c r="M529">
        <v>-183822.71416</v>
      </c>
      <c r="N529">
        <v>1614455.8518399999</v>
      </c>
      <c r="O529" s="1">
        <v>-183822.71416</v>
      </c>
      <c r="P529">
        <v>184931.20340999999</v>
      </c>
      <c r="Q529">
        <v>765369.00957999995</v>
      </c>
      <c r="R529">
        <v>759268.90309000004</v>
      </c>
      <c r="S529">
        <v>-186494.30136000001</v>
      </c>
      <c r="T529">
        <v>-0.21789</v>
      </c>
      <c r="U529">
        <f t="shared" si="56"/>
        <v>-6.2892207470959915E-2</v>
      </c>
      <c r="V529">
        <f t="shared" si="57"/>
        <v>-2.0037756169190404</v>
      </c>
      <c r="W529">
        <f t="shared" si="58"/>
        <v>-0.70779418744501632</v>
      </c>
      <c r="X529">
        <f t="shared" si="59"/>
        <v>1</v>
      </c>
      <c r="Y529">
        <f t="shared" si="60"/>
        <v>0</v>
      </c>
      <c r="Z529">
        <f t="shared" si="61"/>
        <v>1</v>
      </c>
      <c r="AA529">
        <f t="shared" si="62"/>
        <v>1</v>
      </c>
    </row>
    <row r="530" spans="1:27" x14ac:dyDescent="0.35">
      <c r="A530" s="1">
        <v>-20.9100645639977</v>
      </c>
      <c r="B530" s="1" t="s">
        <v>3</v>
      </c>
      <c r="C530" s="1">
        <v>-0.26154379891790103</v>
      </c>
      <c r="D530" s="1" t="s">
        <v>3</v>
      </c>
      <c r="E530" s="1">
        <v>40.415320000000001</v>
      </c>
      <c r="F530" s="1" t="s">
        <v>3</v>
      </c>
      <c r="G530" s="1">
        <v>0.97528999999999999</v>
      </c>
      <c r="H530" s="1">
        <v>2.5719247107369001</v>
      </c>
      <c r="I530" s="1">
        <v>-2.2339999999999999E-2</v>
      </c>
      <c r="J530" s="1">
        <v>-200920.75015000001</v>
      </c>
      <c r="K530" s="1">
        <v>-18979.7235</v>
      </c>
      <c r="L530">
        <v>849472.25806000002</v>
      </c>
      <c r="M530">
        <v>-174621.97007000001</v>
      </c>
      <c r="N530">
        <v>2147839.1828299998</v>
      </c>
      <c r="O530">
        <v>-174621.97007000001</v>
      </c>
      <c r="P530">
        <v>343316.95853</v>
      </c>
      <c r="Q530">
        <v>749145.99077999999</v>
      </c>
      <c r="R530">
        <v>768125.71429000003</v>
      </c>
      <c r="S530">
        <v>-218417.75422</v>
      </c>
      <c r="T530">
        <v>-0.36481000000000002</v>
      </c>
      <c r="U530">
        <f t="shared" si="56"/>
        <v>4.8957713659360524E-2</v>
      </c>
      <c r="V530">
        <f t="shared" si="57"/>
        <v>-1.0673818267663024</v>
      </c>
      <c r="W530">
        <f t="shared" si="58"/>
        <v>-0.85839720489150595</v>
      </c>
      <c r="X530">
        <f t="shared" si="59"/>
        <v>1</v>
      </c>
      <c r="Y530">
        <f t="shared" si="60"/>
        <v>0</v>
      </c>
      <c r="Z530">
        <f t="shared" si="61"/>
        <v>1</v>
      </c>
      <c r="AA530">
        <f t="shared" si="62"/>
        <v>1</v>
      </c>
    </row>
    <row r="531" spans="1:27" x14ac:dyDescent="0.35">
      <c r="A531" s="1">
        <v>6.69777003933216</v>
      </c>
      <c r="B531" s="1" t="s">
        <v>3</v>
      </c>
      <c r="C531" s="1">
        <v>1.9401106420999999E-5</v>
      </c>
      <c r="D531" s="1" t="s">
        <v>3</v>
      </c>
      <c r="E531" s="1">
        <v>134.51750000000001</v>
      </c>
      <c r="F531" s="1">
        <v>1.2199999999999999E-3</v>
      </c>
      <c r="G531" s="1">
        <v>1.2314099999999999</v>
      </c>
      <c r="H531" s="1">
        <v>2.835937049364E-3</v>
      </c>
      <c r="I531" s="1">
        <v>8.4999999999999995E-4</v>
      </c>
      <c r="J531" s="1">
        <v>-14505520.15244</v>
      </c>
      <c r="K531" s="1">
        <v>1033015.81741</v>
      </c>
      <c r="L531">
        <v>1215973739.1719699</v>
      </c>
      <c r="M531">
        <v>40752679.629689999</v>
      </c>
      <c r="N531">
        <v>1725417.01391</v>
      </c>
      <c r="O531">
        <v>40750010.2434</v>
      </c>
      <c r="P531">
        <v>1635697500.31847</v>
      </c>
      <c r="Q531">
        <v>5496948.0891699996</v>
      </c>
      <c r="R531">
        <v>4463932.2717599999</v>
      </c>
      <c r="S531">
        <v>11803.85831</v>
      </c>
      <c r="T531">
        <v>-8.5500000000000003E-3</v>
      </c>
      <c r="U531">
        <f t="shared" si="56"/>
        <v>6.0268255996666449</v>
      </c>
      <c r="V531">
        <f t="shared" si="57"/>
        <v>3.221618172143041</v>
      </c>
      <c r="W531">
        <f t="shared" si="58"/>
        <v>5.8970977266285508E-2</v>
      </c>
      <c r="X531">
        <f t="shared" si="59"/>
        <v>0</v>
      </c>
      <c r="Y531">
        <f t="shared" si="60"/>
        <v>1</v>
      </c>
      <c r="Z531">
        <f t="shared" si="61"/>
        <v>0</v>
      </c>
      <c r="AA531">
        <f t="shared" si="62"/>
        <v>0</v>
      </c>
    </row>
    <row r="532" spans="1:27" x14ac:dyDescent="0.35">
      <c r="A532" s="1">
        <v>8.5784003962898296</v>
      </c>
      <c r="B532" s="1">
        <v>17.927649978695701</v>
      </c>
      <c r="C532" s="1">
        <v>7.8358425018399992E-3</v>
      </c>
      <c r="D532" s="1">
        <v>20.172270000000001</v>
      </c>
      <c r="E532" s="1">
        <v>16.560320000000001</v>
      </c>
      <c r="F532" s="1">
        <v>9.9949999999999997E-2</v>
      </c>
      <c r="G532" s="1">
        <v>7.1290399999999998</v>
      </c>
      <c r="H532" s="1">
        <v>1.0755096352693999E-2</v>
      </c>
      <c r="I532" s="1">
        <v>0.11004</v>
      </c>
      <c r="J532" s="1">
        <v>129470691.99793001</v>
      </c>
      <c r="K532" s="1">
        <v>200881947.47363001</v>
      </c>
      <c r="L532">
        <v>1825524700.0555201</v>
      </c>
      <c r="M532">
        <v>163346635.90496001</v>
      </c>
      <c r="N532">
        <v>16355804.385229999</v>
      </c>
      <c r="O532">
        <v>130455957.08192</v>
      </c>
      <c r="P532">
        <v>302312783.23154002</v>
      </c>
      <c r="Q532">
        <v>233657397.11272001</v>
      </c>
      <c r="R532">
        <v>32775449.639090002</v>
      </c>
      <c r="S532">
        <v>11916351.369689999</v>
      </c>
      <c r="T532">
        <v>4.4290000000000003E-2</v>
      </c>
      <c r="U532">
        <f t="shared" si="56"/>
        <v>3.4262805604579136</v>
      </c>
      <c r="V532">
        <f t="shared" si="57"/>
        <v>-3.6491252181259815</v>
      </c>
      <c r="W532">
        <f t="shared" si="58"/>
        <v>0.26193054336424332</v>
      </c>
      <c r="X532">
        <f t="shared" si="59"/>
        <v>0</v>
      </c>
      <c r="Y532">
        <f t="shared" si="60"/>
        <v>0</v>
      </c>
      <c r="Z532">
        <f t="shared" si="61"/>
        <v>0</v>
      </c>
      <c r="AA532">
        <f t="shared" si="62"/>
        <v>0</v>
      </c>
    </row>
    <row r="533" spans="1:27" x14ac:dyDescent="0.35">
      <c r="A533" s="1">
        <v>3.4294627650088598</v>
      </c>
      <c r="B533" s="1">
        <v>5.1619987446562696</v>
      </c>
      <c r="C533" s="1">
        <v>1.6316666095700001E-3</v>
      </c>
      <c r="D533" s="1">
        <v>22.38692</v>
      </c>
      <c r="E533" s="1">
        <v>18.017160000000001</v>
      </c>
      <c r="F533" s="1">
        <v>6.7949999999999997E-2</v>
      </c>
      <c r="G533" s="1">
        <v>4.5921700000000003</v>
      </c>
      <c r="H533" s="1">
        <v>1.1256421403025E-2</v>
      </c>
      <c r="I533" s="1">
        <v>6.8110000000000004E-2</v>
      </c>
      <c r="J533" s="1">
        <v>5578644.1640400002</v>
      </c>
      <c r="K533" s="1">
        <v>128477176</v>
      </c>
      <c r="L533">
        <v>1886282720</v>
      </c>
      <c r="M533">
        <v>68493768.698799998</v>
      </c>
      <c r="N533">
        <v>20890834.24351</v>
      </c>
      <c r="O533">
        <v>63647526.689819999</v>
      </c>
      <c r="P533">
        <v>339854636</v>
      </c>
      <c r="Q533">
        <v>164243089</v>
      </c>
      <c r="R533">
        <v>35765913</v>
      </c>
      <c r="S533">
        <v>3028216.1142299999</v>
      </c>
      <c r="T533">
        <v>7.3249999999999996E-2</v>
      </c>
      <c r="U533">
        <f t="shared" si="56"/>
        <v>1.3434509815016742</v>
      </c>
      <c r="V533">
        <f t="shared" si="57"/>
        <v>-3.4064933970604923</v>
      </c>
      <c r="W533">
        <f t="shared" si="58"/>
        <v>0.17538827028001192</v>
      </c>
      <c r="X533">
        <f t="shared" si="59"/>
        <v>0</v>
      </c>
      <c r="Y533">
        <f t="shared" si="60"/>
        <v>0</v>
      </c>
      <c r="Z533">
        <f t="shared" si="61"/>
        <v>0</v>
      </c>
      <c r="AA533">
        <f t="shared" si="62"/>
        <v>0</v>
      </c>
    </row>
    <row r="534" spans="1:27" x14ac:dyDescent="0.35">
      <c r="A534" s="1">
        <v>-3.0629611656760498</v>
      </c>
      <c r="B534" s="1">
        <v>-2.0149408125965098</v>
      </c>
      <c r="C534" s="1">
        <v>4.3925949521489999E-3</v>
      </c>
      <c r="D534" s="1">
        <v>32.709739999999996</v>
      </c>
      <c r="E534" s="1">
        <v>23.991299999999999</v>
      </c>
      <c r="F534" s="1">
        <v>0.13145999999999999</v>
      </c>
      <c r="G534" s="1">
        <v>0.41232999999999997</v>
      </c>
      <c r="H534" s="1">
        <v>1.147103326957E-2</v>
      </c>
      <c r="I534" s="1">
        <v>-0.13569000000000001</v>
      </c>
      <c r="J534" s="1">
        <v>-57290607</v>
      </c>
      <c r="K534" s="1">
        <v>-269635534</v>
      </c>
      <c r="L534">
        <v>1987106970</v>
      </c>
      <c r="M534">
        <v>-67165605</v>
      </c>
      <c r="N534">
        <v>22215891</v>
      </c>
      <c r="O534">
        <v>-59320211</v>
      </c>
      <c r="P534">
        <v>476732871</v>
      </c>
      <c r="Q534">
        <v>189184086</v>
      </c>
      <c r="R534">
        <v>458819620</v>
      </c>
      <c r="S534">
        <v>8507116</v>
      </c>
      <c r="T534">
        <v>5.4579999999999997E-2</v>
      </c>
      <c r="U534">
        <f t="shared" si="56"/>
        <v>-0.21876409121009813</v>
      </c>
      <c r="V534">
        <f t="shared" si="57"/>
        <v>-2.7965098924659268</v>
      </c>
      <c r="W534">
        <f t="shared" si="58"/>
        <v>-0.15279722677536581</v>
      </c>
      <c r="X534">
        <f t="shared" si="59"/>
        <v>1</v>
      </c>
      <c r="Y534">
        <f t="shared" si="60"/>
        <v>0</v>
      </c>
      <c r="Z534">
        <f t="shared" si="61"/>
        <v>1</v>
      </c>
      <c r="AA534">
        <f t="shared" si="62"/>
        <v>1</v>
      </c>
    </row>
    <row r="535" spans="1:27" x14ac:dyDescent="0.35">
      <c r="A535" s="1">
        <v>-7.5496728351915197</v>
      </c>
      <c r="B535" s="1">
        <v>-8.6698565912692906</v>
      </c>
      <c r="C535" s="1">
        <v>-6.0064334068949997E-3</v>
      </c>
      <c r="D535" s="1">
        <v>39.918030000000002</v>
      </c>
      <c r="E535" s="1">
        <v>27.668310000000002</v>
      </c>
      <c r="F535" s="1">
        <v>-0.13508999999999999</v>
      </c>
      <c r="G535" s="1">
        <v>2.4500000000000001E-2</v>
      </c>
      <c r="H535" s="1">
        <v>1.0131591478909E-2</v>
      </c>
      <c r="I535" s="1">
        <v>-0.26261000000000001</v>
      </c>
      <c r="J535" s="1">
        <v>-23161717</v>
      </c>
      <c r="K535" s="1">
        <v>-495580311</v>
      </c>
      <c r="L535">
        <v>1887138264</v>
      </c>
      <c r="M535">
        <v>-158088769</v>
      </c>
      <c r="N535">
        <v>19626135</v>
      </c>
      <c r="O535">
        <v>-146246420</v>
      </c>
      <c r="P535">
        <v>522139338</v>
      </c>
      <c r="Q535">
        <v>12444673</v>
      </c>
      <c r="R535">
        <v>508024984</v>
      </c>
      <c r="S535">
        <v>-11635198</v>
      </c>
      <c r="T535">
        <v>-6.7299999999999999E-3</v>
      </c>
      <c r="U535">
        <f t="shared" si="56"/>
        <v>-0.49063671964136613</v>
      </c>
      <c r="V535">
        <f t="shared" si="57"/>
        <v>-2.3740743290140864</v>
      </c>
      <c r="W535">
        <f t="shared" si="58"/>
        <v>-0.39853295498331326</v>
      </c>
      <c r="X535">
        <f t="shared" si="59"/>
        <v>1</v>
      </c>
      <c r="Y535">
        <f t="shared" si="60"/>
        <v>0</v>
      </c>
      <c r="Z535">
        <f t="shared" si="61"/>
        <v>1</v>
      </c>
      <c r="AA535">
        <f t="shared" si="62"/>
        <v>1</v>
      </c>
    </row>
    <row r="536" spans="1:27" x14ac:dyDescent="0.35">
      <c r="A536" s="1">
        <v>-7.7894843457142304</v>
      </c>
      <c r="B536" s="1">
        <v>-6.9261545358278198</v>
      </c>
      <c r="C536" s="1">
        <v>4.809041465912E-3</v>
      </c>
      <c r="D536" s="1">
        <v>53.745289999999997</v>
      </c>
      <c r="E536" s="1">
        <v>33.44903</v>
      </c>
      <c r="F536" s="1">
        <v>7.3340000000000002E-2</v>
      </c>
      <c r="G536" s="1">
        <v>1.1639999999999999E-2</v>
      </c>
      <c r="H536" s="1">
        <v>8.6119173912730003E-3</v>
      </c>
      <c r="I536" s="1">
        <v>-0.33262999999999998</v>
      </c>
      <c r="J536" s="1">
        <v>-184773</v>
      </c>
      <c r="K536" s="1">
        <v>-619841551</v>
      </c>
      <c r="L536">
        <v>1863473189</v>
      </c>
      <c r="M536">
        <v>-157539347</v>
      </c>
      <c r="N536">
        <v>16149978</v>
      </c>
      <c r="O536">
        <v>-146076646</v>
      </c>
      <c r="P536">
        <v>623313675</v>
      </c>
      <c r="Q536">
        <v>7301851</v>
      </c>
      <c r="R536">
        <v>627143402</v>
      </c>
      <c r="S536">
        <v>9018423</v>
      </c>
      <c r="T536">
        <v>-5.475E-2</v>
      </c>
      <c r="U536">
        <f t="shared" si="56"/>
        <v>-0.49007466967536611</v>
      </c>
      <c r="V536">
        <f t="shared" si="57"/>
        <v>-2.0406062693744116</v>
      </c>
      <c r="W536">
        <f t="shared" si="58"/>
        <v>-0.47661490761646802</v>
      </c>
      <c r="X536">
        <f t="shared" si="59"/>
        <v>1</v>
      </c>
      <c r="Y536">
        <f t="shared" si="60"/>
        <v>0</v>
      </c>
      <c r="Z536">
        <f t="shared" si="61"/>
        <v>1</v>
      </c>
      <c r="AA536">
        <f t="shared" si="62"/>
        <v>1</v>
      </c>
    </row>
    <row r="537" spans="1:27" x14ac:dyDescent="0.35">
      <c r="A537" s="1">
        <v>-3.17881833985391</v>
      </c>
      <c r="B537" s="1">
        <v>-3.5259344486105202</v>
      </c>
      <c r="C537" s="1">
        <v>-7.1755889143500001E-4</v>
      </c>
      <c r="D537" s="1">
        <v>66.495189999999994</v>
      </c>
      <c r="E537" s="1">
        <v>36.582889999999999</v>
      </c>
      <c r="F537" s="1">
        <v>-9.8099999999999993E-3</v>
      </c>
      <c r="G537" s="1">
        <v>1.0670000000000001E-2</v>
      </c>
      <c r="H537" s="1">
        <v>6.4862897573460003E-3</v>
      </c>
      <c r="I537" s="1">
        <v>-0.40583000000000002</v>
      </c>
      <c r="J537" s="1">
        <v>-1326452</v>
      </c>
      <c r="K537" s="1">
        <v>-808749021</v>
      </c>
      <c r="L537">
        <v>1992826319</v>
      </c>
      <c r="M537">
        <v>-78509057</v>
      </c>
      <c r="N537">
        <v>12506538</v>
      </c>
      <c r="O537">
        <v>-61292378</v>
      </c>
      <c r="P537">
        <v>729033508</v>
      </c>
      <c r="Q537">
        <v>8719658</v>
      </c>
      <c r="R537">
        <v>817468679</v>
      </c>
      <c r="S537">
        <v>-1383561</v>
      </c>
      <c r="T537">
        <v>-7.2569999999999996E-2</v>
      </c>
      <c r="U537">
        <f t="shared" si="56"/>
        <v>-0.48101205015992171</v>
      </c>
      <c r="V537">
        <f t="shared" si="57"/>
        <v>-2.0763281819748225</v>
      </c>
      <c r="W537">
        <f t="shared" si="58"/>
        <v>-0.61547516332204766</v>
      </c>
      <c r="X537">
        <f t="shared" si="59"/>
        <v>1</v>
      </c>
      <c r="Y537">
        <f t="shared" si="60"/>
        <v>0</v>
      </c>
      <c r="Z537">
        <f t="shared" si="61"/>
        <v>1</v>
      </c>
      <c r="AA537">
        <f t="shared" si="62"/>
        <v>1</v>
      </c>
    </row>
    <row r="538" spans="1:27" x14ac:dyDescent="0.35">
      <c r="A538" s="1">
        <v>-29.917589427361001</v>
      </c>
      <c r="B538" s="1">
        <v>-30.308819256725801</v>
      </c>
      <c r="C538" s="1">
        <v>-1.9609925922350001E-3</v>
      </c>
      <c r="D538" s="1">
        <v>55.939549999999997</v>
      </c>
      <c r="E538" s="1">
        <v>33.166699999999999</v>
      </c>
      <c r="F538" s="1">
        <v>-2.7949999999999999E-2</v>
      </c>
      <c r="G538" s="1">
        <v>1.4619999999999999E-2</v>
      </c>
      <c r="H538" s="1">
        <v>1.4159912118409999E-3</v>
      </c>
      <c r="I538" s="1">
        <v>-0.24646999999999999</v>
      </c>
      <c r="J538" s="1">
        <v>-12940484</v>
      </c>
      <c r="K538" s="1">
        <v>-265098924</v>
      </c>
      <c r="L538">
        <v>1075595267</v>
      </c>
      <c r="M538">
        <v>-515880806</v>
      </c>
      <c r="N538">
        <v>2172429</v>
      </c>
      <c r="O538" s="1">
        <v>-458998886</v>
      </c>
      <c r="P538">
        <v>356739407</v>
      </c>
      <c r="Q538">
        <v>3932816</v>
      </c>
      <c r="R538">
        <v>269031740</v>
      </c>
      <c r="S538">
        <v>-3008576</v>
      </c>
      <c r="T538">
        <v>-0.42766999999999999</v>
      </c>
      <c r="U538">
        <f t="shared" si="56"/>
        <v>-1.5272209969398569</v>
      </c>
      <c r="V538">
        <f t="shared" si="57"/>
        <v>-0.48911255318309471</v>
      </c>
      <c r="W538">
        <f t="shared" si="58"/>
        <v>-0.36602008333400365</v>
      </c>
      <c r="X538">
        <f t="shared" si="59"/>
        <v>1</v>
      </c>
      <c r="Y538">
        <f t="shared" si="60"/>
        <v>0</v>
      </c>
      <c r="Z538">
        <f t="shared" si="61"/>
        <v>1</v>
      </c>
      <c r="AA538">
        <f t="shared" si="62"/>
        <v>1</v>
      </c>
    </row>
    <row r="539" spans="1:27" x14ac:dyDescent="0.35">
      <c r="A539" s="1">
        <v>-25.492419621901899</v>
      </c>
      <c r="B539" s="1">
        <v>-27.288940601973501</v>
      </c>
      <c r="C539" s="1">
        <v>-5.0885119959989998E-3</v>
      </c>
      <c r="D539" s="1">
        <v>40.611490000000003</v>
      </c>
      <c r="E539" s="1">
        <v>26.444769999999998</v>
      </c>
      <c r="F539" s="1">
        <v>-0.51522000000000001</v>
      </c>
      <c r="G539" s="1">
        <v>2.0799799999999999</v>
      </c>
      <c r="H539" s="1">
        <v>5.1487576087789998E-3</v>
      </c>
      <c r="I539" s="1">
        <v>0.23927000000000001</v>
      </c>
      <c r="J539" s="1">
        <v>-36422905</v>
      </c>
      <c r="K539" s="1">
        <v>207353013</v>
      </c>
      <c r="L539" s="1">
        <v>866620848</v>
      </c>
      <c r="M539" s="1">
        <v>-172383046</v>
      </c>
      <c r="N539" s="1">
        <v>5000000</v>
      </c>
      <c r="O539" s="1">
        <v>-247558941</v>
      </c>
      <c r="P539" s="1">
        <v>229175922</v>
      </c>
      <c r="Q539" s="1">
        <v>399350814</v>
      </c>
      <c r="R539" s="1">
        <v>191997801</v>
      </c>
      <c r="S539" s="1">
        <v>-4941495</v>
      </c>
      <c r="T539" s="1">
        <v>-0.80044000000000004</v>
      </c>
      <c r="U539">
        <f t="shared" si="56"/>
        <v>-0.36132680457161021</v>
      </c>
      <c r="V539">
        <f t="shared" si="57"/>
        <v>-1.4988578422877474</v>
      </c>
      <c r="W539">
        <f t="shared" si="58"/>
        <v>0.42780884928584129</v>
      </c>
      <c r="X539">
        <f t="shared" si="59"/>
        <v>1</v>
      </c>
      <c r="Y539">
        <f t="shared" si="60"/>
        <v>0</v>
      </c>
      <c r="Z539">
        <f t="shared" si="61"/>
        <v>0</v>
      </c>
      <c r="AA539">
        <f t="shared" si="62"/>
        <v>0</v>
      </c>
    </row>
    <row r="540" spans="1:27" x14ac:dyDescent="0.35">
      <c r="A540" s="1">
        <v>-13.283958617778501</v>
      </c>
      <c r="B540" s="1">
        <v>-12.9116410735336</v>
      </c>
      <c r="C540" s="1">
        <v>-6.2254157831919997E-3</v>
      </c>
      <c r="D540" s="1">
        <v>24.963039999999999</v>
      </c>
      <c r="E540" s="1">
        <v>18.75412</v>
      </c>
      <c r="F540" s="1">
        <v>-108.21165999999999</v>
      </c>
      <c r="G540" s="1">
        <v>0.67071999999999998</v>
      </c>
      <c r="H540" s="1">
        <v>1.5179349104770001E-3</v>
      </c>
      <c r="I540" s="1">
        <v>-2.9569999999999999E-2</v>
      </c>
      <c r="J540" s="1">
        <v>-19857269</v>
      </c>
      <c r="K540" s="1">
        <v>-20422338</v>
      </c>
      <c r="L540" s="1">
        <v>690758183</v>
      </c>
      <c r="M540" s="1">
        <v>-103414711</v>
      </c>
      <c r="N540" s="1">
        <v>1182000</v>
      </c>
      <c r="O540" s="1">
        <v>-103440793</v>
      </c>
      <c r="P540" s="1">
        <v>129545613</v>
      </c>
      <c r="Q540" s="1">
        <v>41598535</v>
      </c>
      <c r="R540" s="1">
        <v>62020873</v>
      </c>
      <c r="S540" s="1">
        <v>-4847666</v>
      </c>
      <c r="T540" s="1">
        <v>-1.1530199999999999</v>
      </c>
      <c r="U540">
        <f t="shared" si="56"/>
        <v>-1.1518083035926743</v>
      </c>
      <c r="V540">
        <f t="shared" si="57"/>
        <v>-2.5544589280110066</v>
      </c>
      <c r="W540">
        <f t="shared" si="58"/>
        <v>-1.8067319835138308E-2</v>
      </c>
      <c r="X540">
        <f t="shared" si="59"/>
        <v>1</v>
      </c>
      <c r="Y540">
        <f t="shared" si="60"/>
        <v>0</v>
      </c>
      <c r="Z540">
        <f t="shared" si="61"/>
        <v>1</v>
      </c>
      <c r="AA540">
        <f t="shared" si="62"/>
        <v>1</v>
      </c>
    </row>
    <row r="541" spans="1:27" x14ac:dyDescent="0.35">
      <c r="A541" s="1">
        <v>0.19266017142045899</v>
      </c>
      <c r="B541" s="1">
        <v>0.175000473775073</v>
      </c>
      <c r="C541" s="1">
        <v>-1.1007065681639999E-3</v>
      </c>
      <c r="D541" s="1">
        <v>30.13111</v>
      </c>
      <c r="E541" s="1">
        <v>20.79937</v>
      </c>
      <c r="F541" s="1">
        <v>-35.951990000000002</v>
      </c>
      <c r="G541" s="1">
        <v>0.33359</v>
      </c>
      <c r="H541" s="1">
        <v>6.7948880145969996E-3</v>
      </c>
      <c r="I541" s="1">
        <v>-0.12168</v>
      </c>
      <c r="J541" s="1">
        <v>2767650</v>
      </c>
      <c r="K541" s="1">
        <v>-75702117</v>
      </c>
      <c r="L541">
        <v>622149400</v>
      </c>
      <c r="M541">
        <v>1229633</v>
      </c>
      <c r="N541">
        <v>4460530</v>
      </c>
      <c r="O541" s="1">
        <v>1264725</v>
      </c>
      <c r="P541">
        <v>129403135</v>
      </c>
      <c r="Q541">
        <v>37894029</v>
      </c>
      <c r="R541">
        <v>113596146</v>
      </c>
      <c r="S541">
        <v>-722563</v>
      </c>
      <c r="T541">
        <v>-1.42397</v>
      </c>
      <c r="U541">
        <f t="shared" si="56"/>
        <v>-0.11888214343369133</v>
      </c>
      <c r="V541">
        <f t="shared" si="57"/>
        <v>-3.1222494996941692</v>
      </c>
      <c r="W541">
        <f t="shared" si="58"/>
        <v>-0.1476901626876117</v>
      </c>
      <c r="X541">
        <f t="shared" si="59"/>
        <v>1</v>
      </c>
      <c r="Y541">
        <f t="shared" si="60"/>
        <v>0</v>
      </c>
      <c r="Z541">
        <f t="shared" si="61"/>
        <v>1</v>
      </c>
      <c r="AA541">
        <f t="shared" si="62"/>
        <v>1</v>
      </c>
    </row>
    <row r="542" spans="1:27" x14ac:dyDescent="0.35">
      <c r="A542">
        <v>0.66731109916931697</v>
      </c>
      <c r="B542" s="1">
        <v>0.55100950166852003</v>
      </c>
      <c r="C542">
        <v>-2.1040859359899999E-4</v>
      </c>
      <c r="D542">
        <v>6.1522899999999998</v>
      </c>
      <c r="E542">
        <v>5.0911799999999996</v>
      </c>
      <c r="F542">
        <v>-27.143039999999999</v>
      </c>
      <c r="G542">
        <v>0.70021</v>
      </c>
      <c r="H542">
        <v>1.3787895281257999E-2</v>
      </c>
      <c r="I542">
        <v>-3.4209999999999997E-2</v>
      </c>
      <c r="J542">
        <v>3703940</v>
      </c>
      <c r="K542">
        <v>-20118599</v>
      </c>
      <c r="L542">
        <v>588143372</v>
      </c>
      <c r="M542">
        <v>13841141</v>
      </c>
      <c r="N542">
        <v>8343695</v>
      </c>
      <c r="O542" s="1">
        <v>4038209</v>
      </c>
      <c r="P542">
        <v>29943422</v>
      </c>
      <c r="Q542">
        <v>46991300</v>
      </c>
      <c r="R542">
        <v>67109899</v>
      </c>
      <c r="S542">
        <v>-127328</v>
      </c>
      <c r="T542">
        <v>-1.49986</v>
      </c>
      <c r="U542">
        <f t="shared" si="56"/>
        <v>0.1058990869158167</v>
      </c>
      <c r="V542">
        <f t="shared" si="57"/>
        <v>-4.0378991629371059</v>
      </c>
      <c r="W542">
        <f t="shared" si="58"/>
        <v>-6.8570549155147614E-5</v>
      </c>
      <c r="X542">
        <f t="shared" si="59"/>
        <v>1</v>
      </c>
      <c r="Y542">
        <f t="shared" si="60"/>
        <v>0</v>
      </c>
      <c r="Z542">
        <f t="shared" si="61"/>
        <v>1</v>
      </c>
      <c r="AA542">
        <f t="shared" si="62"/>
        <v>1</v>
      </c>
    </row>
    <row r="543" spans="1:27" x14ac:dyDescent="0.35">
      <c r="A543">
        <v>8.89748949120969</v>
      </c>
      <c r="B543" s="1">
        <v>7.5424811887847598</v>
      </c>
      <c r="C543">
        <v>0.14824127180966101</v>
      </c>
      <c r="D543">
        <v>5.2316900000000004</v>
      </c>
      <c r="E543">
        <v>4.6937300000000004</v>
      </c>
      <c r="F543">
        <v>3999.8860599999998</v>
      </c>
      <c r="G543">
        <v>2.9705400000000002</v>
      </c>
      <c r="H543">
        <v>1.3487611449471E-2</v>
      </c>
      <c r="I543">
        <v>0.16866</v>
      </c>
      <c r="J543">
        <v>3298253</v>
      </c>
      <c r="K543">
        <v>165364711</v>
      </c>
      <c r="L543">
        <v>980443926</v>
      </c>
      <c r="M543">
        <v>121292274</v>
      </c>
      <c r="N543">
        <v>10578248</v>
      </c>
      <c r="O543" s="1">
        <v>69782445</v>
      </c>
      <c r="P543">
        <v>46019434</v>
      </c>
      <c r="Q543">
        <v>249283234</v>
      </c>
      <c r="R543">
        <v>83918523</v>
      </c>
      <c r="S543">
        <v>116264688</v>
      </c>
      <c r="T543">
        <v>-0.82925000000000004</v>
      </c>
      <c r="U543">
        <f t="shared" si="56"/>
        <v>1.4960267178685478</v>
      </c>
      <c r="V543">
        <f t="shared" si="57"/>
        <v>-4.3408594928196713</v>
      </c>
      <c r="W543">
        <f t="shared" si="58"/>
        <v>0.74009188568730044</v>
      </c>
      <c r="X543">
        <f t="shared" si="59"/>
        <v>0</v>
      </c>
      <c r="Y543">
        <f t="shared" si="60"/>
        <v>0</v>
      </c>
      <c r="Z543">
        <f t="shared" si="61"/>
        <v>0</v>
      </c>
      <c r="AA543">
        <f t="shared" si="62"/>
        <v>0</v>
      </c>
    </row>
    <row r="544" spans="1:27" x14ac:dyDescent="0.35">
      <c r="A544">
        <v>1.32808569069444</v>
      </c>
      <c r="B544" s="1">
        <v>1.21394610064318</v>
      </c>
      <c r="C544">
        <v>1.8082016112893E-2</v>
      </c>
      <c r="D544">
        <v>6.6796199999999999</v>
      </c>
      <c r="E544">
        <v>5.9059600000000003</v>
      </c>
      <c r="F544">
        <v>374.46199999999999</v>
      </c>
      <c r="G544">
        <v>2.7730700000000001</v>
      </c>
      <c r="H544">
        <v>1.1301565795151999E-2</v>
      </c>
      <c r="I544">
        <v>0.10915</v>
      </c>
      <c r="J544">
        <v>4038670</v>
      </c>
      <c r="K544">
        <v>117902597</v>
      </c>
      <c r="L544">
        <v>1080234251</v>
      </c>
      <c r="M544">
        <v>32542920</v>
      </c>
      <c r="N544">
        <v>11644445</v>
      </c>
      <c r="O544" s="1">
        <v>13683786</v>
      </c>
      <c r="P544">
        <v>63798245</v>
      </c>
      <c r="Q544">
        <v>184398965</v>
      </c>
      <c r="R544">
        <v>66496368</v>
      </c>
      <c r="S544">
        <v>18630608</v>
      </c>
      <c r="T544">
        <v>-0.73948000000000003</v>
      </c>
      <c r="U544">
        <f t="shared" si="56"/>
        <v>0.4926793309031301</v>
      </c>
      <c r="V544">
        <f t="shared" si="57"/>
        <v>-4.0092711952933557</v>
      </c>
      <c r="W544">
        <f t="shared" si="58"/>
        <v>0.29600076767515859</v>
      </c>
      <c r="X544">
        <f t="shared" si="59"/>
        <v>1</v>
      </c>
      <c r="Y544">
        <f t="shared" si="60"/>
        <v>0</v>
      </c>
      <c r="Z544">
        <f t="shared" si="61"/>
        <v>0</v>
      </c>
      <c r="AA544">
        <f t="shared" si="62"/>
        <v>0</v>
      </c>
    </row>
    <row r="545" spans="1:27" x14ac:dyDescent="0.35">
      <c r="A545">
        <v>1.29861683297096</v>
      </c>
      <c r="B545" s="1">
        <v>1.1900919718123</v>
      </c>
      <c r="C545">
        <v>1.5650762513385E-2</v>
      </c>
      <c r="D545">
        <v>6.9560000000000004</v>
      </c>
      <c r="E545">
        <v>6.1028200000000004</v>
      </c>
      <c r="F545">
        <v>538.55924000000005</v>
      </c>
      <c r="G545">
        <v>1.7281200000000001</v>
      </c>
      <c r="H545">
        <v>4.2687038536695997E-2</v>
      </c>
      <c r="I545">
        <v>5.561E-2</v>
      </c>
      <c r="J545">
        <v>17447763</v>
      </c>
      <c r="K545">
        <v>61444517</v>
      </c>
      <c r="L545">
        <v>1104867719</v>
      </c>
      <c r="M545">
        <v>17459213</v>
      </c>
      <c r="N545">
        <v>46637766</v>
      </c>
      <c r="O545" s="1">
        <v>14188051</v>
      </c>
      <c r="P545">
        <v>67428121</v>
      </c>
      <c r="Q545">
        <v>145832308</v>
      </c>
      <c r="R545">
        <v>84387791</v>
      </c>
      <c r="S545">
        <v>17099256</v>
      </c>
      <c r="T545">
        <v>-0.71035999999999999</v>
      </c>
      <c r="U545">
        <f t="shared" si="56"/>
        <v>0.25822676379794562</v>
      </c>
      <c r="V545">
        <f t="shared" si="57"/>
        <v>-4.0030129175785198</v>
      </c>
      <c r="W545">
        <f t="shared" si="58"/>
        <v>0.20164747819281706</v>
      </c>
      <c r="X545">
        <f t="shared" si="59"/>
        <v>1</v>
      </c>
      <c r="Y545">
        <f t="shared" si="60"/>
        <v>0</v>
      </c>
      <c r="Z545">
        <f t="shared" si="61"/>
        <v>0</v>
      </c>
      <c r="AA545">
        <f t="shared" si="62"/>
        <v>0</v>
      </c>
    </row>
    <row r="546" spans="1:27" x14ac:dyDescent="0.35">
      <c r="A546">
        <v>2.2238561600028</v>
      </c>
      <c r="B546" s="1">
        <v>2.0531248133927398</v>
      </c>
      <c r="C546">
        <v>3.7881597655936003E-2</v>
      </c>
      <c r="D546">
        <v>10.429880000000001</v>
      </c>
      <c r="E546">
        <v>8.9812499999999993</v>
      </c>
      <c r="F546">
        <v>4.6666100000000004</v>
      </c>
      <c r="G546">
        <v>1.2030099999999999</v>
      </c>
      <c r="H546">
        <v>0.14368469590730801</v>
      </c>
      <c r="I546">
        <v>2.588E-2</v>
      </c>
      <c r="J546">
        <v>22423275</v>
      </c>
      <c r="K546">
        <v>29886881</v>
      </c>
      <c r="L546">
        <v>1154868810</v>
      </c>
      <c r="M546">
        <v>33992906</v>
      </c>
      <c r="N546">
        <v>162344778</v>
      </c>
      <c r="O546" s="1">
        <v>25126645</v>
      </c>
      <c r="P546">
        <v>103721649</v>
      </c>
      <c r="Q546">
        <v>177105828</v>
      </c>
      <c r="R546">
        <v>147218947</v>
      </c>
      <c r="S546">
        <v>42801215</v>
      </c>
      <c r="T546">
        <v>-0.65847999999999995</v>
      </c>
      <c r="U546">
        <f t="shared" si="56"/>
        <v>0.3490582370755827</v>
      </c>
      <c r="V546">
        <f t="shared" si="57"/>
        <v>-3.8811638808273217</v>
      </c>
      <c r="W546">
        <f t="shared" si="58"/>
        <v>0.22620598611542725</v>
      </c>
      <c r="X546">
        <f t="shared" si="59"/>
        <v>1</v>
      </c>
      <c r="Y546">
        <f t="shared" si="60"/>
        <v>0</v>
      </c>
      <c r="Z546">
        <f t="shared" si="61"/>
        <v>0</v>
      </c>
      <c r="AA546">
        <f t="shared" si="62"/>
        <v>0</v>
      </c>
    </row>
    <row r="547" spans="1:27" x14ac:dyDescent="0.35">
      <c r="A547" s="1" t="s">
        <v>3</v>
      </c>
      <c r="B547" s="1" t="s">
        <v>3</v>
      </c>
      <c r="C547" s="1" t="s">
        <v>3</v>
      </c>
      <c r="D547" s="1" t="s">
        <v>3</v>
      </c>
      <c r="E547" s="1" t="s">
        <v>3</v>
      </c>
      <c r="F547" s="1" t="s">
        <v>3</v>
      </c>
      <c r="G547" s="1" t="s">
        <v>3</v>
      </c>
      <c r="H547" s="1" t="s">
        <v>3</v>
      </c>
      <c r="I547" s="1" t="s">
        <v>3</v>
      </c>
      <c r="J547" s="1" t="s">
        <v>3</v>
      </c>
      <c r="K547" s="1" t="s">
        <v>3</v>
      </c>
      <c r="L547" s="1" t="s">
        <v>3</v>
      </c>
      <c r="M547" s="1" t="s">
        <v>3</v>
      </c>
      <c r="N547" s="1" t="s">
        <v>3</v>
      </c>
      <c r="O547" s="1" t="s">
        <v>3</v>
      </c>
      <c r="P547" s="1" t="s">
        <v>3</v>
      </c>
      <c r="Q547" s="1" t="s">
        <v>3</v>
      </c>
      <c r="R547" s="1" t="s">
        <v>3</v>
      </c>
      <c r="S547" s="1" t="s">
        <v>3</v>
      </c>
      <c r="T547" s="1" t="s">
        <v>3</v>
      </c>
      <c r="U547" t="e">
        <f t="shared" si="56"/>
        <v>#VALUE!</v>
      </c>
      <c r="V547" t="e">
        <f t="shared" si="57"/>
        <v>#VALUE!</v>
      </c>
      <c r="W547" t="e">
        <f t="shared" si="58"/>
        <v>#VALUE!</v>
      </c>
      <c r="X547" t="e">
        <f t="shared" si="59"/>
        <v>#VALUE!</v>
      </c>
      <c r="Y547" t="e">
        <f t="shared" si="60"/>
        <v>#VALUE!</v>
      </c>
      <c r="Z547" t="e">
        <f t="shared" si="61"/>
        <v>#VALUE!</v>
      </c>
      <c r="AA547" t="e">
        <f t="shared" si="62"/>
        <v>#VALUE!</v>
      </c>
    </row>
    <row r="548" spans="1:27" x14ac:dyDescent="0.35">
      <c r="A548" s="1">
        <v>7.9961833225105803</v>
      </c>
      <c r="B548" s="1">
        <v>302.63834435658202</v>
      </c>
      <c r="C548" s="1">
        <v>-0.14176981803977301</v>
      </c>
      <c r="D548" s="1">
        <v>43.681339999999999</v>
      </c>
      <c r="E548" s="1">
        <v>20.12491</v>
      </c>
      <c r="F548" s="1">
        <v>-4.9378000000000002</v>
      </c>
      <c r="G548" s="1">
        <v>1.1750700000000001</v>
      </c>
      <c r="H548" s="1">
        <v>0.28416909269604301</v>
      </c>
      <c r="I548" s="1">
        <v>6.5409999999999996E-2</v>
      </c>
      <c r="J548" s="1">
        <v>-31613784.250689998</v>
      </c>
      <c r="K548" s="1">
        <v>15263270.50433</v>
      </c>
      <c r="L548">
        <v>233346001.01885</v>
      </c>
      <c r="M548" s="1">
        <v>36619978.024269998</v>
      </c>
      <c r="N548" s="1">
        <v>84345286.441660002</v>
      </c>
      <c r="O548" s="1">
        <v>23733769.439119998</v>
      </c>
      <c r="P548" s="1">
        <v>46960672.440140001</v>
      </c>
      <c r="Q548" s="1">
        <v>102446867.04024</v>
      </c>
      <c r="R548" s="1">
        <v>87183596.535909995</v>
      </c>
      <c r="S548" s="1">
        <v>-42079227.539839998</v>
      </c>
      <c r="T548" s="1">
        <v>-1.15584</v>
      </c>
      <c r="U548">
        <f t="shared" si="56"/>
        <v>-6.4433795519235032E-2</v>
      </c>
      <c r="V548">
        <f t="shared" si="57"/>
        <v>-3.6058777023097996</v>
      </c>
      <c r="W548">
        <f t="shared" si="58"/>
        <v>-0.44728785318218978</v>
      </c>
      <c r="X548">
        <f t="shared" si="59"/>
        <v>1</v>
      </c>
      <c r="Y548">
        <f t="shared" si="60"/>
        <v>0</v>
      </c>
      <c r="Z548">
        <f t="shared" si="61"/>
        <v>1</v>
      </c>
      <c r="AA548">
        <f t="shared" si="62"/>
        <v>1</v>
      </c>
    </row>
    <row r="549" spans="1:27" x14ac:dyDescent="0.35">
      <c r="A549" s="1">
        <v>0.42259729521144301</v>
      </c>
      <c r="B549" s="1">
        <v>1.26463713156943</v>
      </c>
      <c r="C549" s="1">
        <v>-6.1812975393329E-2</v>
      </c>
      <c r="D549" s="1">
        <v>25.535309999999999</v>
      </c>
      <c r="E549" s="1">
        <v>15.590920000000001</v>
      </c>
      <c r="F549" s="1">
        <v>-8.0911299999999997</v>
      </c>
      <c r="G549" s="1">
        <v>1.04979</v>
      </c>
      <c r="H549" s="1">
        <v>0.23810679583963801</v>
      </c>
      <c r="I549" s="1">
        <v>1.4319999999999999E-2</v>
      </c>
      <c r="J549" s="1">
        <v>-24271402.113839999</v>
      </c>
      <c r="K549" s="1">
        <v>2772312.4860899998</v>
      </c>
      <c r="L549" s="1">
        <v>193538949.47696</v>
      </c>
      <c r="M549" s="1">
        <v>1803785.87845</v>
      </c>
      <c r="N549" s="1">
        <v>50822103.877360001</v>
      </c>
      <c r="O549" s="1">
        <v>902002.12722999998</v>
      </c>
      <c r="P549" s="1">
        <v>30174493.656800002</v>
      </c>
      <c r="Q549" s="1">
        <v>58452370.353880003</v>
      </c>
      <c r="R549" s="1">
        <v>55680057.867789999</v>
      </c>
      <c r="S549" s="1">
        <v>-13193514.470389999</v>
      </c>
      <c r="T549" s="1">
        <v>-1.5180100000000001</v>
      </c>
      <c r="U549">
        <f t="shared" si="56"/>
        <v>-6.8108760957755782E-2</v>
      </c>
      <c r="V549">
        <f t="shared" si="57"/>
        <v>-3.4280912406738273</v>
      </c>
      <c r="W549">
        <f t="shared" si="58"/>
        <v>-0.15134036626784286</v>
      </c>
      <c r="X549">
        <f t="shared" si="59"/>
        <v>1</v>
      </c>
      <c r="Y549">
        <f t="shared" si="60"/>
        <v>0</v>
      </c>
      <c r="Z549">
        <f t="shared" si="61"/>
        <v>1</v>
      </c>
      <c r="AA549">
        <f t="shared" si="62"/>
        <v>1</v>
      </c>
    </row>
    <row r="550" spans="1:27" x14ac:dyDescent="0.35">
      <c r="A550" s="1">
        <v>0.48881335627170203</v>
      </c>
      <c r="B550" s="1">
        <v>0.87782481169547999</v>
      </c>
      <c r="C550" s="1">
        <v>1.3344045925970001E-3</v>
      </c>
      <c r="D550" s="1">
        <v>21.491700000000002</v>
      </c>
      <c r="E550" s="1">
        <v>14.696099999999999</v>
      </c>
      <c r="F550" s="1">
        <v>0.71816000000000002</v>
      </c>
      <c r="G550" s="1">
        <v>2.0230299999999999</v>
      </c>
      <c r="H550" s="1">
        <v>3.6974104385549003E-2</v>
      </c>
      <c r="I550" s="1">
        <v>0.14391999999999999</v>
      </c>
      <c r="J550" s="1">
        <v>-4270160.7611199999</v>
      </c>
      <c r="K550" s="1">
        <v>259208413.20554</v>
      </c>
      <c r="L550" s="1">
        <v>1801077635.7827499</v>
      </c>
      <c r="M550" s="1">
        <v>5260087.5392800001</v>
      </c>
      <c r="N550" s="1">
        <v>36874580.916270003</v>
      </c>
      <c r="O550" s="1">
        <v>4874976.1375799999</v>
      </c>
      <c r="P550" s="1">
        <v>264688178.91374001</v>
      </c>
      <c r="Q550" s="1">
        <v>512582854.10010999</v>
      </c>
      <c r="R550" s="1">
        <v>253374440.89456999</v>
      </c>
      <c r="S550" s="1">
        <v>1330812.7659199999</v>
      </c>
      <c r="T550" s="1">
        <v>-0.15347</v>
      </c>
      <c r="U550">
        <f t="shared" si="56"/>
        <v>0.17239562166745515</v>
      </c>
      <c r="V550">
        <f t="shared" si="57"/>
        <v>-3.4664103210036901</v>
      </c>
      <c r="W550">
        <f t="shared" si="58"/>
        <v>0.29702406085879529</v>
      </c>
      <c r="X550">
        <f t="shared" si="59"/>
        <v>1</v>
      </c>
      <c r="Y550">
        <f t="shared" si="60"/>
        <v>0</v>
      </c>
      <c r="Z550">
        <f t="shared" si="61"/>
        <v>0</v>
      </c>
      <c r="AA550">
        <f t="shared" si="62"/>
        <v>0</v>
      </c>
    </row>
    <row r="551" spans="1:27" x14ac:dyDescent="0.35">
      <c r="A551" s="1">
        <v>-23.7199047268588</v>
      </c>
      <c r="B551" s="1">
        <v>-43.503100823096503</v>
      </c>
      <c r="C551" s="1">
        <v>-0.113829360880202</v>
      </c>
      <c r="D551" s="1">
        <v>65.078999999999994</v>
      </c>
      <c r="E551" s="1">
        <v>33.719140000000003</v>
      </c>
      <c r="F551" s="1">
        <v>-5.7806300000000004</v>
      </c>
      <c r="G551" s="1">
        <v>2.2061500000000001</v>
      </c>
      <c r="H551" s="1">
        <v>1.1213805765356899</v>
      </c>
      <c r="I551" s="1">
        <v>0.16263</v>
      </c>
      <c r="J551" s="1">
        <v>-85087742.66719</v>
      </c>
      <c r="K551" s="1">
        <v>258459723.50229999</v>
      </c>
      <c r="L551" s="1">
        <v>1589283041.4746499</v>
      </c>
      <c r="M551" s="1">
        <v>-468956767.26055998</v>
      </c>
      <c r="N551" s="1">
        <v>1900942305.4634099</v>
      </c>
      <c r="O551" s="1">
        <v>-402095161.27117002</v>
      </c>
      <c r="P551" s="1">
        <v>535892534.56221002</v>
      </c>
      <c r="Q551" s="1">
        <v>472745253.45621997</v>
      </c>
      <c r="R551" s="1">
        <v>214285529.95392001</v>
      </c>
      <c r="S551" s="1">
        <v>-192961294.52279001</v>
      </c>
      <c r="T551" s="1">
        <v>-0.34761999999999998</v>
      </c>
      <c r="U551">
        <f t="shared" si="56"/>
        <v>-1.1711835953976872</v>
      </c>
      <c r="V551">
        <f t="shared" si="57"/>
        <v>-1.2306660237630878</v>
      </c>
      <c r="W551">
        <f t="shared" si="58"/>
        <v>-9.2007583405273693E-2</v>
      </c>
      <c r="X551">
        <f t="shared" si="59"/>
        <v>1</v>
      </c>
      <c r="Y551">
        <f t="shared" si="60"/>
        <v>0</v>
      </c>
      <c r="Z551">
        <f t="shared" si="61"/>
        <v>1</v>
      </c>
      <c r="AA551">
        <f t="shared" si="62"/>
        <v>1</v>
      </c>
    </row>
    <row r="552" spans="1:27" x14ac:dyDescent="0.35">
      <c r="A552" s="1">
        <v>4.6768801821692403</v>
      </c>
      <c r="B552" s="1">
        <v>8.2357193057214797</v>
      </c>
      <c r="C552" s="1">
        <v>6.6551183273837994E-2</v>
      </c>
      <c r="D552" s="1">
        <v>53.265349999999998</v>
      </c>
      <c r="E552" s="1">
        <v>28.249870000000001</v>
      </c>
      <c r="F552" s="1">
        <v>4.3559700000000001</v>
      </c>
      <c r="G552" s="1">
        <v>2.1444800000000002</v>
      </c>
      <c r="H552" s="1">
        <v>0.82940075047264505</v>
      </c>
      <c r="I552" s="1">
        <v>0.19625999999999999</v>
      </c>
      <c r="J552" s="1">
        <v>104038727.68127</v>
      </c>
      <c r="K552" s="1">
        <v>345223885.35031998</v>
      </c>
      <c r="L552" s="1">
        <v>1759050849.2569001</v>
      </c>
      <c r="M552" s="1">
        <v>110597294.99259</v>
      </c>
      <c r="N552" s="1">
        <v>1388555320.9028699</v>
      </c>
      <c r="O552" s="1">
        <v>78298782.084240004</v>
      </c>
      <c r="P552" s="1">
        <v>496929617.83438998</v>
      </c>
      <c r="Q552" s="1">
        <v>646867622.08068001</v>
      </c>
      <c r="R552" s="1">
        <v>301643736.73035997</v>
      </c>
      <c r="S552" s="1">
        <v>111417791.21204001</v>
      </c>
      <c r="T552" s="1">
        <v>-0.32872000000000001</v>
      </c>
      <c r="U552">
        <f t="shared" si="56"/>
        <v>0.95433559482078389</v>
      </c>
      <c r="V552">
        <f t="shared" si="57"/>
        <v>-2.8814831506601175</v>
      </c>
      <c r="W552">
        <f t="shared" si="58"/>
        <v>0.59714263034439286</v>
      </c>
      <c r="X552">
        <f t="shared" si="59"/>
        <v>0</v>
      </c>
      <c r="Y552">
        <f t="shared" si="60"/>
        <v>0</v>
      </c>
      <c r="Z552">
        <f t="shared" si="61"/>
        <v>0</v>
      </c>
      <c r="AA552">
        <f t="shared" si="62"/>
        <v>0</v>
      </c>
    </row>
    <row r="553" spans="1:27" x14ac:dyDescent="0.35">
      <c r="A553" s="1">
        <v>-4.6005067352676896</v>
      </c>
      <c r="B553" s="1">
        <v>-9.2113964135335102</v>
      </c>
      <c r="C553" s="1">
        <v>3.5010689930713997E-2</v>
      </c>
      <c r="D553" s="1">
        <v>49.280630000000002</v>
      </c>
      <c r="E553" s="1">
        <v>24.215260000000001</v>
      </c>
      <c r="F553" s="1">
        <v>1.14097</v>
      </c>
      <c r="G553" s="1">
        <v>1.4413800000000001</v>
      </c>
      <c r="H553" s="1">
        <v>1.0563516281273999</v>
      </c>
      <c r="I553" s="1">
        <v>0.11311</v>
      </c>
      <c r="J553" s="1">
        <v>87906209.628409997</v>
      </c>
      <c r="K553" s="1">
        <v>201159578.01222</v>
      </c>
      <c r="L553" s="1">
        <v>1778477290.3942299</v>
      </c>
      <c r="M553" s="1">
        <v>14532090.95751</v>
      </c>
      <c r="N553" s="1">
        <v>1868436804.93349</v>
      </c>
      <c r="O553" s="1">
        <v>-81372110.163320005</v>
      </c>
      <c r="P553" s="1">
        <v>430662853.97002</v>
      </c>
      <c r="Q553" s="1">
        <v>656908273.18157005</v>
      </c>
      <c r="R553" s="1">
        <v>455748695.16935003</v>
      </c>
      <c r="S553" s="1">
        <v>61925650.409249999</v>
      </c>
      <c r="T553" s="1">
        <v>-0.37395</v>
      </c>
      <c r="U553">
        <f t="shared" si="56"/>
        <v>0.6646746039540532</v>
      </c>
      <c r="V553">
        <f t="shared" si="57"/>
        <v>-2.7080726562718525</v>
      </c>
      <c r="W553">
        <f t="shared" si="58"/>
        <v>0.36142124106663454</v>
      </c>
      <c r="X553">
        <f t="shared" si="59"/>
        <v>1</v>
      </c>
      <c r="Y553">
        <f t="shared" si="60"/>
        <v>0</v>
      </c>
      <c r="Z553">
        <f t="shared" si="61"/>
        <v>0</v>
      </c>
      <c r="AA553">
        <f t="shared" si="62"/>
        <v>0</v>
      </c>
    </row>
    <row r="554" spans="1:27" x14ac:dyDescent="0.35">
      <c r="A554" s="1">
        <v>-0.70204971609252098</v>
      </c>
      <c r="B554" s="1">
        <v>-2.11061320155319</v>
      </c>
      <c r="C554" s="1">
        <v>1.4566113066142999E-2</v>
      </c>
      <c r="D554" s="1">
        <v>45.239820000000002</v>
      </c>
      <c r="E554" s="1">
        <v>23.33475</v>
      </c>
      <c r="F554" s="1">
        <v>0.55340999999999996</v>
      </c>
      <c r="G554" s="1">
        <v>1.9902299999999999</v>
      </c>
      <c r="H554" s="1">
        <v>1.13852552767958</v>
      </c>
      <c r="I554" s="1">
        <v>0.18190999999999999</v>
      </c>
      <c r="J554" s="1">
        <v>-96520000</v>
      </c>
      <c r="K554" s="1">
        <v>381789000</v>
      </c>
      <c r="L554" s="1">
        <v>2098741000</v>
      </c>
      <c r="M554" s="1">
        <v>-23578000</v>
      </c>
      <c r="N554" s="1">
        <v>2207156000</v>
      </c>
      <c r="O554" s="1">
        <v>-13610000</v>
      </c>
      <c r="P554" s="1">
        <v>489736000</v>
      </c>
      <c r="Q554" s="1">
        <v>767343000</v>
      </c>
      <c r="R554" s="1">
        <v>385554000</v>
      </c>
      <c r="S554" s="1">
        <v>28238000</v>
      </c>
      <c r="T554" s="1">
        <v>5.6600000000000001E-3</v>
      </c>
      <c r="U554">
        <f t="shared" si="56"/>
        <v>0.60897829203394427</v>
      </c>
      <c r="V554">
        <f t="shared" si="57"/>
        <v>-2.9327764360837718</v>
      </c>
      <c r="W554">
        <f t="shared" si="58"/>
        <v>0.40285317673786336</v>
      </c>
      <c r="X554">
        <f t="shared" si="59"/>
        <v>1</v>
      </c>
      <c r="Y554">
        <f t="shared" si="60"/>
        <v>0</v>
      </c>
      <c r="Z554">
        <f t="shared" si="61"/>
        <v>0</v>
      </c>
      <c r="AA554">
        <f t="shared" si="62"/>
        <v>0</v>
      </c>
    </row>
    <row r="555" spans="1:27" x14ac:dyDescent="0.35">
      <c r="A555" s="1">
        <v>-5.8586908140449303</v>
      </c>
      <c r="B555" s="1">
        <v>-12.2923631977655</v>
      </c>
      <c r="C555" s="1">
        <v>-3.7695279818316003E-2</v>
      </c>
      <c r="D555" s="1">
        <v>54.625320000000002</v>
      </c>
      <c r="E555" s="1">
        <v>24.9773</v>
      </c>
      <c r="F555" s="1">
        <v>-1.54253</v>
      </c>
      <c r="G555" s="1">
        <v>1.5287999999999999</v>
      </c>
      <c r="H555" s="1">
        <v>1.08789434589764</v>
      </c>
      <c r="I555" s="1">
        <v>0.12330000000000001</v>
      </c>
      <c r="J555" s="1">
        <v>89942000</v>
      </c>
      <c r="K555" s="1">
        <v>261448000</v>
      </c>
      <c r="L555" s="1">
        <v>2120461000</v>
      </c>
      <c r="M555" s="1">
        <v>-146468000</v>
      </c>
      <c r="N555" s="1">
        <v>2295023000</v>
      </c>
      <c r="O555" s="1">
        <v>-123595000</v>
      </c>
      <c r="P555" s="1">
        <v>529634000</v>
      </c>
      <c r="Q555" s="1">
        <v>755866000</v>
      </c>
      <c r="R555" s="1">
        <v>494418000</v>
      </c>
      <c r="S555" s="1">
        <v>-79522000</v>
      </c>
      <c r="T555" s="1">
        <v>-3.823E-2</v>
      </c>
      <c r="U555">
        <f t="shared" si="56"/>
        <v>0.24927334008075208</v>
      </c>
      <c r="V555">
        <f t="shared" si="57"/>
        <v>-2.6078876060359515</v>
      </c>
      <c r="W555">
        <f t="shared" si="58"/>
        <v>0.13185107813819733</v>
      </c>
      <c r="X555">
        <f t="shared" si="59"/>
        <v>1</v>
      </c>
      <c r="Y555">
        <f t="shared" si="60"/>
        <v>0</v>
      </c>
      <c r="Z555">
        <f t="shared" si="61"/>
        <v>0</v>
      </c>
      <c r="AA555">
        <f t="shared" si="62"/>
        <v>0</v>
      </c>
    </row>
    <row r="556" spans="1:27" x14ac:dyDescent="0.35">
      <c r="A556" s="1">
        <v>-0.93377711424281395</v>
      </c>
      <c r="B556" s="1">
        <v>-3.62786444490883</v>
      </c>
      <c r="C556" s="1">
        <v>6.6341988832229999E-3</v>
      </c>
      <c r="D556" s="1">
        <v>52.181260000000002</v>
      </c>
      <c r="E556" s="1">
        <v>23.81156</v>
      </c>
      <c r="F556" s="1">
        <v>0.51402999999999999</v>
      </c>
      <c r="G556" s="1">
        <v>1.3492200000000001</v>
      </c>
      <c r="H556" s="1">
        <v>1.13429175660375</v>
      </c>
      <c r="I556" s="1">
        <v>9.5219999999999999E-2</v>
      </c>
      <c r="J556" s="1">
        <v>97876000</v>
      </c>
      <c r="K556" s="1">
        <v>221012000</v>
      </c>
      <c r="L556" s="1">
        <v>2321070000</v>
      </c>
      <c r="M556" s="1">
        <v>-14390000</v>
      </c>
      <c r="N556" s="1">
        <v>2518996000</v>
      </c>
      <c r="O556" s="1">
        <v>-20737000</v>
      </c>
      <c r="P556" s="1">
        <v>552683000</v>
      </c>
      <c r="Q556" s="1">
        <v>853890000</v>
      </c>
      <c r="R556" s="1">
        <v>632878000</v>
      </c>
      <c r="S556" s="1">
        <v>14733000</v>
      </c>
      <c r="T556" s="1">
        <v>-4.607E-2</v>
      </c>
      <c r="U556">
        <f t="shared" si="56"/>
        <v>0.53666606631522185</v>
      </c>
      <c r="V556">
        <f t="shared" si="57"/>
        <v>-2.8971400638582607</v>
      </c>
      <c r="W556">
        <f t="shared" si="58"/>
        <v>0.23557675123972996</v>
      </c>
      <c r="X556">
        <f t="shared" si="59"/>
        <v>1</v>
      </c>
      <c r="Y556">
        <f t="shared" si="60"/>
        <v>0</v>
      </c>
      <c r="Z556">
        <f t="shared" si="61"/>
        <v>0</v>
      </c>
      <c r="AA556">
        <f t="shared" si="62"/>
        <v>0</v>
      </c>
    </row>
    <row r="557" spans="1:27" x14ac:dyDescent="0.35">
      <c r="A557" s="1">
        <v>-6.0260852010969E-2</v>
      </c>
      <c r="B557" s="1">
        <v>-1.2246511699892899</v>
      </c>
      <c r="C557" s="1">
        <v>1.8098055597523002E-2</v>
      </c>
      <c r="D557" s="1">
        <v>65.753140000000002</v>
      </c>
      <c r="E557" s="1">
        <v>29.726980000000001</v>
      </c>
      <c r="F557" s="1">
        <v>1.25129</v>
      </c>
      <c r="G557" s="1">
        <v>1.4039900000000001</v>
      </c>
      <c r="H557" s="1">
        <v>1.0661380068206701</v>
      </c>
      <c r="I557" s="1">
        <v>8.5940000000000003E-2</v>
      </c>
      <c r="J557" s="1">
        <v>60701000</v>
      </c>
      <c r="K557" s="1">
        <v>199852000</v>
      </c>
      <c r="L557" s="1">
        <v>2325396000</v>
      </c>
      <c r="M557" s="1">
        <v>5613000</v>
      </c>
      <c r="N557" s="1">
        <v>2476887000</v>
      </c>
      <c r="O557" s="1">
        <v>-1400000</v>
      </c>
      <c r="P557" s="1">
        <v>691270000</v>
      </c>
      <c r="Q557" s="1">
        <v>694548000</v>
      </c>
      <c r="R557" s="1">
        <v>494696000</v>
      </c>
      <c r="S557" s="1">
        <v>42046000</v>
      </c>
      <c r="T557" s="1">
        <v>-5.0650000000000001E-2</v>
      </c>
      <c r="U557">
        <f t="shared" si="56"/>
        <v>0.57757798598474164</v>
      </c>
      <c r="V557">
        <f t="shared" si="57"/>
        <v>-2.5972369753525051</v>
      </c>
      <c r="W557">
        <f t="shared" si="58"/>
        <v>0.26034514379486329</v>
      </c>
      <c r="X557">
        <f t="shared" si="59"/>
        <v>1</v>
      </c>
      <c r="Y557">
        <f t="shared" si="60"/>
        <v>0</v>
      </c>
      <c r="Z557">
        <f t="shared" si="61"/>
        <v>0</v>
      </c>
      <c r="AA557">
        <f t="shared" si="62"/>
        <v>0</v>
      </c>
    </row>
    <row r="558" spans="1:27" x14ac:dyDescent="0.35">
      <c r="A558" s="1">
        <v>0.130834667420033</v>
      </c>
      <c r="B558" s="1">
        <v>1.27568823982278</v>
      </c>
      <c r="C558" s="1">
        <v>3.7772725438231E-2</v>
      </c>
      <c r="D558" s="1">
        <v>59.600369999999998</v>
      </c>
      <c r="E558" s="1">
        <v>29.920680000000001</v>
      </c>
      <c r="F558" s="1">
        <v>2.6300400000000002</v>
      </c>
      <c r="G558" s="1">
        <v>1.2524</v>
      </c>
      <c r="H558" s="1">
        <v>0.52212000950676896</v>
      </c>
      <c r="I558" s="1">
        <v>3.6880000000000003E-2</v>
      </c>
      <c r="J558" s="1">
        <v>110051000</v>
      </c>
      <c r="K558" s="1">
        <v>119846000</v>
      </c>
      <c r="L558" s="1">
        <v>3249579000</v>
      </c>
      <c r="M558" s="1">
        <v>41277000</v>
      </c>
      <c r="N558" s="1">
        <v>1455403000</v>
      </c>
      <c r="O558" s="1">
        <v>3647000</v>
      </c>
      <c r="P558" s="1">
        <v>972296000</v>
      </c>
      <c r="Q558" s="1">
        <v>594681000</v>
      </c>
      <c r="R558" s="1">
        <v>474835000</v>
      </c>
      <c r="S558" s="1">
        <v>105291000</v>
      </c>
      <c r="T558" s="1">
        <v>-3.7900000000000003E-2</v>
      </c>
      <c r="U558">
        <f t="shared" si="56"/>
        <v>0.3739822325710308</v>
      </c>
      <c r="V558">
        <f t="shared" si="57"/>
        <v>-2.5945622412875333</v>
      </c>
      <c r="W558">
        <f t="shared" si="58"/>
        <v>0.22816519278343439</v>
      </c>
      <c r="X558">
        <f t="shared" si="59"/>
        <v>1</v>
      </c>
      <c r="Y558">
        <f t="shared" si="60"/>
        <v>0</v>
      </c>
      <c r="Z558">
        <f t="shared" si="61"/>
        <v>0</v>
      </c>
      <c r="AA558">
        <f t="shared" si="62"/>
        <v>0</v>
      </c>
    </row>
    <row r="559" spans="1:27" x14ac:dyDescent="0.35">
      <c r="A559" s="1">
        <v>9.6943336584265296</v>
      </c>
      <c r="B559" s="1">
        <v>15.151227150312501</v>
      </c>
      <c r="C559" s="1">
        <v>0.15483540707294599</v>
      </c>
      <c r="D559" s="1">
        <v>51.070889999999999</v>
      </c>
      <c r="E559" s="1">
        <v>26.246790000000001</v>
      </c>
      <c r="F559" s="1">
        <v>10.828010000000001</v>
      </c>
      <c r="G559" s="1">
        <v>1.0864100000000001</v>
      </c>
      <c r="H559" s="1">
        <v>0.60292463635297799</v>
      </c>
      <c r="I559" s="1">
        <v>2.2689999999999998E-2</v>
      </c>
      <c r="J559" s="1">
        <v>526050000</v>
      </c>
      <c r="K559" s="1">
        <v>84764000</v>
      </c>
      <c r="L559" s="1">
        <v>3736110000</v>
      </c>
      <c r="M559" s="1">
        <v>478926000</v>
      </c>
      <c r="N559" s="1">
        <v>2105922000</v>
      </c>
      <c r="O559" s="1">
        <v>338608000</v>
      </c>
      <c r="P559" s="1">
        <v>980609000</v>
      </c>
      <c r="Q559" s="1">
        <v>1065772000</v>
      </c>
      <c r="R559" s="1">
        <v>981008000</v>
      </c>
      <c r="S559" s="1">
        <v>540816000</v>
      </c>
      <c r="T559" s="1">
        <v>2.2899999999999999E-3</v>
      </c>
      <c r="U559">
        <f t="shared" si="56"/>
        <v>1.0154398619811296</v>
      </c>
      <c r="V559">
        <f t="shared" si="57"/>
        <v>-3.2074275076495393</v>
      </c>
      <c r="W559">
        <f t="shared" si="58"/>
        <v>0.58862674332393849</v>
      </c>
      <c r="X559">
        <f t="shared" si="59"/>
        <v>0</v>
      </c>
      <c r="Y559">
        <f t="shared" si="60"/>
        <v>0</v>
      </c>
      <c r="Z559">
        <f t="shared" si="61"/>
        <v>0</v>
      </c>
      <c r="AA559">
        <f t="shared" si="62"/>
        <v>0</v>
      </c>
    </row>
    <row r="560" spans="1:27" x14ac:dyDescent="0.35">
      <c r="A560" s="1">
        <v>7.16645018223248</v>
      </c>
      <c r="B560" s="1">
        <v>13.1870314613028</v>
      </c>
      <c r="C560" s="1">
        <v>0.14296155042258499</v>
      </c>
      <c r="D560" s="1">
        <v>98.383769999999998</v>
      </c>
      <c r="E560" s="1">
        <v>38.256770000000003</v>
      </c>
      <c r="F560" s="1">
        <v>5.10921</v>
      </c>
      <c r="G560" s="1">
        <v>1.10823</v>
      </c>
      <c r="H560" s="1">
        <v>0.53769416787257895</v>
      </c>
      <c r="I560" s="1">
        <v>2.563E-2</v>
      </c>
      <c r="J560" s="1">
        <v>496069000</v>
      </c>
      <c r="K560" s="1">
        <v>176122000</v>
      </c>
      <c r="L560" s="1">
        <v>6872043000</v>
      </c>
      <c r="M560" s="1">
        <v>590628000</v>
      </c>
      <c r="N560" s="1">
        <v>2851971000</v>
      </c>
      <c r="O560" s="1">
        <v>380114000</v>
      </c>
      <c r="P560" s="1">
        <v>2629022000</v>
      </c>
      <c r="Q560" s="1">
        <v>1803449000</v>
      </c>
      <c r="R560" s="1">
        <v>1627327000</v>
      </c>
      <c r="S560" s="1">
        <v>758279000</v>
      </c>
      <c r="T560" s="1">
        <v>1.8429999999999998E-2</v>
      </c>
      <c r="U560">
        <f t="shared" si="56"/>
        <v>0.77069643927683851</v>
      </c>
      <c r="V560">
        <f t="shared" si="57"/>
        <v>-2.3638398863299717</v>
      </c>
      <c r="W560">
        <f t="shared" si="58"/>
        <v>0.47577864268311476</v>
      </c>
      <c r="X560">
        <f t="shared" si="59"/>
        <v>1</v>
      </c>
      <c r="Y560">
        <f t="shared" si="60"/>
        <v>0</v>
      </c>
      <c r="Z560">
        <f t="shared" si="61"/>
        <v>0</v>
      </c>
      <c r="AA560">
        <f t="shared" si="62"/>
        <v>0</v>
      </c>
    </row>
    <row r="561" spans="1:27" x14ac:dyDescent="0.35">
      <c r="A561" s="1">
        <v>3.71073871392315</v>
      </c>
      <c r="B561" s="1">
        <v>7.1931718372899702</v>
      </c>
      <c r="C561" s="1">
        <v>9.4983561792296001E-2</v>
      </c>
      <c r="D561" s="1">
        <v>98.226050000000001</v>
      </c>
      <c r="E561" s="1">
        <v>37.687080000000002</v>
      </c>
      <c r="F561" s="1">
        <v>3.3931100000000001</v>
      </c>
      <c r="G561" s="1">
        <v>1.74851</v>
      </c>
      <c r="H561" s="1">
        <v>0.44206453482380398</v>
      </c>
      <c r="I561" s="1">
        <v>0.12418</v>
      </c>
      <c r="J561" s="1">
        <v>528904000</v>
      </c>
      <c r="K561" s="1">
        <v>874565000</v>
      </c>
      <c r="L561" s="1">
        <v>7042491000</v>
      </c>
      <c r="M561" s="1">
        <v>455809000</v>
      </c>
      <c r="N561" s="1">
        <v>3075561000</v>
      </c>
      <c r="O561" s="1">
        <v>258166000</v>
      </c>
      <c r="P561" s="1">
        <v>2654109000</v>
      </c>
      <c r="Q561" s="1">
        <v>2042975000</v>
      </c>
      <c r="R561" s="1">
        <v>1168410000</v>
      </c>
      <c r="S561" s="1">
        <v>660826000</v>
      </c>
      <c r="T561" s="1">
        <v>1.9650000000000001E-2</v>
      </c>
      <c r="U561">
        <f t="shared" si="56"/>
        <v>0.84813923443458727</v>
      </c>
      <c r="V561">
        <f t="shared" si="57"/>
        <v>-2.3098050922715871</v>
      </c>
      <c r="W561">
        <f t="shared" si="58"/>
        <v>0.58190157388912533</v>
      </c>
      <c r="X561">
        <f t="shared" si="59"/>
        <v>1</v>
      </c>
      <c r="Y561">
        <f t="shared" si="60"/>
        <v>0</v>
      </c>
      <c r="Z561">
        <f t="shared" si="61"/>
        <v>0</v>
      </c>
      <c r="AA561">
        <f t="shared" si="62"/>
        <v>0</v>
      </c>
    </row>
    <row r="562" spans="1:27" x14ac:dyDescent="0.35">
      <c r="A562" s="1">
        <v>1.93153904631912</v>
      </c>
      <c r="B562" s="1">
        <v>3.7551822024956301</v>
      </c>
      <c r="C562" s="1">
        <v>5.9800803181683002E-2</v>
      </c>
      <c r="D562" s="1">
        <v>92.011520000000004</v>
      </c>
      <c r="E562" s="1">
        <v>35.303629999999998</v>
      </c>
      <c r="F562" s="1">
        <v>2.7808899999999999</v>
      </c>
      <c r="G562" s="1">
        <v>1.65347</v>
      </c>
      <c r="H562" s="1">
        <v>0.33778256561756498</v>
      </c>
      <c r="I562" s="1">
        <v>0.10059</v>
      </c>
      <c r="J562" s="1">
        <v>473863000</v>
      </c>
      <c r="K562" s="1">
        <v>722498000</v>
      </c>
      <c r="L562">
        <v>7182435000</v>
      </c>
      <c r="M562">
        <v>276669000</v>
      </c>
      <c r="N562">
        <v>2402466000</v>
      </c>
      <c r="O562" s="1">
        <v>137380000</v>
      </c>
      <c r="P562">
        <v>2535660000</v>
      </c>
      <c r="Q562">
        <v>1828133000</v>
      </c>
      <c r="R562">
        <v>1105635000</v>
      </c>
      <c r="S562">
        <v>425331000</v>
      </c>
      <c r="T562">
        <v>2.5420000000000002E-2</v>
      </c>
      <c r="U562">
        <f t="shared" si="56"/>
        <v>0.58436214266856179</v>
      </c>
      <c r="V562">
        <f t="shared" si="57"/>
        <v>-2.3671519158435999</v>
      </c>
      <c r="W562">
        <f t="shared" si="58"/>
        <v>0.42486222276985453</v>
      </c>
      <c r="X562">
        <f t="shared" si="59"/>
        <v>1</v>
      </c>
      <c r="Y562">
        <f t="shared" si="60"/>
        <v>0</v>
      </c>
      <c r="Z562">
        <f t="shared" si="61"/>
        <v>0</v>
      </c>
      <c r="AA562">
        <f t="shared" si="62"/>
        <v>0</v>
      </c>
    </row>
    <row r="563" spans="1:27" x14ac:dyDescent="0.35">
      <c r="A563" s="1">
        <v>1.98335259773574</v>
      </c>
      <c r="B563" s="1">
        <v>3.3804531576717798</v>
      </c>
      <c r="C563" s="1">
        <v>5.7197590907471001E-2</v>
      </c>
      <c r="D563" s="1">
        <v>97.384829999999994</v>
      </c>
      <c r="E563" s="1">
        <v>37.453620000000001</v>
      </c>
      <c r="F563" s="1">
        <v>2.2778499999999999</v>
      </c>
      <c r="G563" s="1">
        <v>1.8705000000000001</v>
      </c>
      <c r="H563" s="1">
        <v>0.31390150208546402</v>
      </c>
      <c r="I563" s="1">
        <v>0.12447</v>
      </c>
      <c r="J563" s="1">
        <v>441017000</v>
      </c>
      <c r="K563" s="1">
        <v>957141000</v>
      </c>
      <c r="L563">
        <v>7689555000</v>
      </c>
      <c r="M563">
        <v>250571000</v>
      </c>
      <c r="N563">
        <v>2334170000</v>
      </c>
      <c r="O563" s="1">
        <v>147482000</v>
      </c>
      <c r="P563">
        <v>2880017000</v>
      </c>
      <c r="Q563">
        <v>2056677000</v>
      </c>
      <c r="R563">
        <v>1099536000</v>
      </c>
      <c r="S563">
        <v>425321000</v>
      </c>
      <c r="T563">
        <v>2.9000000000000001E-2</v>
      </c>
      <c r="U563">
        <f t="shared" si="56"/>
        <v>0.56983976936263581</v>
      </c>
      <c r="V563">
        <f t="shared" si="57"/>
        <v>-2.243969318357276</v>
      </c>
      <c r="W563">
        <f t="shared" si="58"/>
        <v>0.45096753726320959</v>
      </c>
      <c r="X563">
        <f t="shared" si="59"/>
        <v>1</v>
      </c>
      <c r="Y563">
        <f t="shared" si="60"/>
        <v>0</v>
      </c>
      <c r="Z563">
        <f t="shared" si="61"/>
        <v>0</v>
      </c>
      <c r="AA563">
        <f t="shared" si="62"/>
        <v>0</v>
      </c>
    </row>
    <row r="564" spans="1:27" x14ac:dyDescent="0.35">
      <c r="A564" s="1">
        <v>3.49660559682279</v>
      </c>
      <c r="B564" s="1">
        <v>7.08237500206892</v>
      </c>
      <c r="C564" s="1">
        <v>7.3651183803350007E-2</v>
      </c>
      <c r="D564" s="1">
        <v>72.500879999999995</v>
      </c>
      <c r="E564" s="1">
        <v>33.513339999999999</v>
      </c>
      <c r="F564" s="1">
        <v>3.6658200000000001</v>
      </c>
      <c r="G564" s="1">
        <v>3.1464300000000001</v>
      </c>
      <c r="H564" s="1">
        <v>0.37276430730514598</v>
      </c>
      <c r="I564" s="1">
        <v>0.26311000000000001</v>
      </c>
      <c r="J564" s="1">
        <v>380211000</v>
      </c>
      <c r="K564" s="1">
        <v>2431581000</v>
      </c>
      <c r="L564">
        <v>9241551000</v>
      </c>
      <c r="M564">
        <v>481320000</v>
      </c>
      <c r="N564">
        <v>3155656000</v>
      </c>
      <c r="O564" s="1">
        <v>296007000</v>
      </c>
      <c r="P564">
        <v>3097152000</v>
      </c>
      <c r="Q564">
        <v>3564431000</v>
      </c>
      <c r="R564">
        <v>1132850000</v>
      </c>
      <c r="S564">
        <v>623498000</v>
      </c>
      <c r="T564">
        <v>3.4180000000000002E-2</v>
      </c>
      <c r="U564">
        <f t="shared" si="56"/>
        <v>0.8951337535920737</v>
      </c>
      <c r="V564">
        <f t="shared" si="57"/>
        <v>-2.5212892185920857</v>
      </c>
      <c r="W564">
        <f t="shared" si="58"/>
        <v>0.72130753387607771</v>
      </c>
      <c r="X564">
        <f t="shared" si="59"/>
        <v>0</v>
      </c>
      <c r="Y564">
        <f t="shared" si="60"/>
        <v>0</v>
      </c>
      <c r="Z564">
        <f t="shared" si="61"/>
        <v>0</v>
      </c>
      <c r="AA564">
        <f t="shared" si="62"/>
        <v>0</v>
      </c>
    </row>
    <row r="565" spans="1:27" x14ac:dyDescent="0.35">
      <c r="A565" s="1">
        <v>0.34840821739331501</v>
      </c>
      <c r="B565" s="1">
        <v>0.10565024603173399</v>
      </c>
      <c r="C565" s="1">
        <v>2.9106634710316999E-2</v>
      </c>
      <c r="D565" s="1">
        <v>106.67892999999999</v>
      </c>
      <c r="E565" s="1">
        <v>42.932209999999998</v>
      </c>
      <c r="F565" s="1">
        <v>1.41981</v>
      </c>
      <c r="G565" s="1">
        <v>3.6964000000000001</v>
      </c>
      <c r="H565" s="1">
        <v>0.320342156123334</v>
      </c>
      <c r="I565" s="1">
        <v>0.22702</v>
      </c>
      <c r="J565" s="1">
        <v>-102597000</v>
      </c>
      <c r="K565" s="1">
        <v>2099493000</v>
      </c>
      <c r="L565">
        <v>9248254000</v>
      </c>
      <c r="M565">
        <v>155423000</v>
      </c>
      <c r="N565">
        <v>2961532000</v>
      </c>
      <c r="O565" s="1">
        <v>32210000</v>
      </c>
      <c r="P565">
        <v>3970480000</v>
      </c>
      <c r="Q565">
        <v>2878122000</v>
      </c>
      <c r="R565">
        <v>778629000</v>
      </c>
      <c r="S565">
        <v>269088000</v>
      </c>
      <c r="T565">
        <v>3.2190000000000003E-2</v>
      </c>
      <c r="U565">
        <f t="shared" si="56"/>
        <v>0.58298426500611589</v>
      </c>
      <c r="V565">
        <f t="shared" si="57"/>
        <v>-1.8537510239091575</v>
      </c>
      <c r="W565">
        <f t="shared" si="58"/>
        <v>0.53067366445601505</v>
      </c>
      <c r="X565">
        <f t="shared" si="59"/>
        <v>1</v>
      </c>
      <c r="Y565">
        <f t="shared" si="60"/>
        <v>0</v>
      </c>
      <c r="Z565">
        <f t="shared" si="61"/>
        <v>0</v>
      </c>
      <c r="AA565">
        <f t="shared" si="62"/>
        <v>0</v>
      </c>
    </row>
    <row r="566" spans="1:27" x14ac:dyDescent="0.35">
      <c r="A566" s="1">
        <v>1.02872885340284</v>
      </c>
      <c r="B566" s="1">
        <v>1.5981186797101801</v>
      </c>
      <c r="C566" s="1">
        <v>3.6093354339021999E-2</v>
      </c>
      <c r="D566" s="1">
        <v>103.89941</v>
      </c>
      <c r="E566" s="1">
        <v>42.09272</v>
      </c>
      <c r="F566" s="1">
        <v>1.1636200000000001</v>
      </c>
      <c r="G566" s="1">
        <v>3.18669</v>
      </c>
      <c r="H566" s="1">
        <v>0.28460360698466602</v>
      </c>
      <c r="I566" s="1">
        <v>0.24507000000000001</v>
      </c>
      <c r="J566" s="1">
        <v>240276000</v>
      </c>
      <c r="K566" s="1">
        <v>2487352000</v>
      </c>
      <c r="L566">
        <v>10149666000</v>
      </c>
      <c r="M566">
        <v>223218000</v>
      </c>
      <c r="N566">
        <v>2760359000</v>
      </c>
      <c r="O566" s="1">
        <v>99776000</v>
      </c>
      <c r="P566">
        <v>4272270000</v>
      </c>
      <c r="Q566">
        <v>3624849000</v>
      </c>
      <c r="R566">
        <v>1137497000</v>
      </c>
      <c r="S566">
        <v>350068000</v>
      </c>
      <c r="T566">
        <v>3.092E-2</v>
      </c>
      <c r="U566">
        <f t="shared" si="56"/>
        <v>0.5966075575880877</v>
      </c>
      <c r="V566">
        <f t="shared" si="57"/>
        <v>-1.9322056006916188</v>
      </c>
      <c r="W566">
        <f t="shared" si="58"/>
        <v>0.578924434557748</v>
      </c>
      <c r="X566">
        <f t="shared" si="59"/>
        <v>1</v>
      </c>
      <c r="Y566">
        <f t="shared" si="60"/>
        <v>0</v>
      </c>
      <c r="Z566">
        <f t="shared" si="61"/>
        <v>0</v>
      </c>
      <c r="AA566">
        <f t="shared" si="62"/>
        <v>0</v>
      </c>
    </row>
    <row r="567" spans="1:27" x14ac:dyDescent="0.35">
      <c r="A567" s="1">
        <v>1.1884211712179999</v>
      </c>
      <c r="B567" s="1">
        <v>3.3068108571398498</v>
      </c>
      <c r="C567" s="1">
        <v>3.2870343285033E-2</v>
      </c>
      <c r="D567" s="1">
        <v>110.86322</v>
      </c>
      <c r="E567" s="1">
        <v>44.081719999999997</v>
      </c>
      <c r="F567" s="1">
        <v>1.06148</v>
      </c>
      <c r="G567" s="1">
        <v>2.4362900000000001</v>
      </c>
      <c r="H567" s="1">
        <v>0.230825689492864</v>
      </c>
      <c r="I567" s="1">
        <v>0.19553999999999999</v>
      </c>
      <c r="J567" s="1">
        <v>10710000</v>
      </c>
      <c r="K567" s="1">
        <v>2059566000</v>
      </c>
      <c r="L567">
        <v>10532564000</v>
      </c>
      <c r="M567">
        <v>232696000</v>
      </c>
      <c r="N567">
        <v>2386995000</v>
      </c>
      <c r="O567" s="1">
        <v>122896000</v>
      </c>
      <c r="P567">
        <v>4642935000</v>
      </c>
      <c r="Q567">
        <v>3493519000</v>
      </c>
      <c r="R567">
        <v>1433953000</v>
      </c>
      <c r="S567">
        <v>339916000</v>
      </c>
      <c r="T567">
        <v>3.4680000000000002E-2</v>
      </c>
      <c r="U567">
        <f t="shared" si="56"/>
        <v>0.49824076013216267</v>
      </c>
      <c r="V567">
        <f t="shared" si="57"/>
        <v>-1.8301038916359138</v>
      </c>
      <c r="W567">
        <f t="shared" si="58"/>
        <v>0.48968897297941882</v>
      </c>
      <c r="X567">
        <f t="shared" si="59"/>
        <v>1</v>
      </c>
      <c r="Y567">
        <f t="shared" si="60"/>
        <v>0</v>
      </c>
      <c r="Z567">
        <f t="shared" si="61"/>
        <v>0</v>
      </c>
      <c r="AA567">
        <f t="shared" si="62"/>
        <v>0</v>
      </c>
    </row>
    <row r="568" spans="1:27" x14ac:dyDescent="0.35">
      <c r="A568" s="1" t="s">
        <v>3</v>
      </c>
      <c r="B568" s="1" t="s">
        <v>3</v>
      </c>
      <c r="C568" s="1" t="s">
        <v>3</v>
      </c>
      <c r="D568" s="1" t="s">
        <v>3</v>
      </c>
      <c r="E568" s="1" t="s">
        <v>3</v>
      </c>
      <c r="F568" s="1" t="s">
        <v>3</v>
      </c>
      <c r="G568" s="1" t="s">
        <v>3</v>
      </c>
      <c r="H568" s="1" t="s">
        <v>3</v>
      </c>
      <c r="I568" s="1" t="s">
        <v>3</v>
      </c>
      <c r="J568" s="1" t="s">
        <v>3</v>
      </c>
      <c r="K568" s="1" t="s">
        <v>3</v>
      </c>
      <c r="L568" s="1" t="s">
        <v>3</v>
      </c>
      <c r="M568" s="1" t="s">
        <v>3</v>
      </c>
      <c r="N568" s="1" t="s">
        <v>3</v>
      </c>
      <c r="O568" s="1" t="s">
        <v>3</v>
      </c>
      <c r="P568" s="1" t="s">
        <v>3</v>
      </c>
      <c r="Q568" s="1" t="s">
        <v>3</v>
      </c>
      <c r="R568" s="1" t="s">
        <v>3</v>
      </c>
      <c r="S568" s="1" t="s">
        <v>3</v>
      </c>
      <c r="T568" s="1" t="s">
        <v>3</v>
      </c>
      <c r="U568" t="e">
        <f t="shared" si="56"/>
        <v>#VALUE!</v>
      </c>
      <c r="V568" t="e">
        <f t="shared" si="57"/>
        <v>#VALUE!</v>
      </c>
      <c r="W568" t="e">
        <f t="shared" si="58"/>
        <v>#VALUE!</v>
      </c>
      <c r="X568" t="e">
        <f t="shared" si="59"/>
        <v>#VALUE!</v>
      </c>
      <c r="Y568" t="e">
        <f t="shared" si="60"/>
        <v>#VALUE!</v>
      </c>
      <c r="Z568" t="e">
        <f t="shared" si="61"/>
        <v>#VALUE!</v>
      </c>
      <c r="AA568" t="e">
        <f t="shared" si="62"/>
        <v>#VALUE!</v>
      </c>
    </row>
    <row r="569" spans="1:27" x14ac:dyDescent="0.35">
      <c r="A569" s="1">
        <v>7.9234829718973998</v>
      </c>
      <c r="B569" s="1">
        <v>72.669718355878004</v>
      </c>
      <c r="C569" s="1">
        <v>0.14450198778840601</v>
      </c>
      <c r="D569" s="1">
        <v>228.70524</v>
      </c>
      <c r="E569" s="1">
        <v>32.775410000000001</v>
      </c>
      <c r="F569" s="1">
        <v>1.41344</v>
      </c>
      <c r="G569" s="1">
        <v>0.87595999999999996</v>
      </c>
      <c r="H569" s="1">
        <v>1.1051259585053701</v>
      </c>
      <c r="I569" s="1">
        <v>-4.7480000000000001E-2</v>
      </c>
      <c r="J569" s="1">
        <v>55403128.802450001</v>
      </c>
      <c r="K569" s="1">
        <v>-80872847.682119995</v>
      </c>
      <c r="L569">
        <v>1703224146.71421</v>
      </c>
      <c r="M569" s="1">
        <v>182055923.48782</v>
      </c>
      <c r="N569" s="1">
        <v>1753128476.27158</v>
      </c>
      <c r="O569" s="1">
        <v>125695026.18573</v>
      </c>
      <c r="P569" s="1">
        <v>558238614.36576998</v>
      </c>
      <c r="Q569" s="1">
        <v>571137748.34437001</v>
      </c>
      <c r="R569" s="1">
        <v>652010596.02648997</v>
      </c>
      <c r="S569" s="1">
        <v>229232285.89465001</v>
      </c>
      <c r="T569" s="1">
        <v>4.1799999999999997E-2</v>
      </c>
      <c r="U569">
        <f t="shared" si="56"/>
        <v>0.96028294912444689</v>
      </c>
      <c r="V569">
        <f t="shared" si="57"/>
        <v>-2.7603903481451666</v>
      </c>
      <c r="W569">
        <f t="shared" si="58"/>
        <v>0.43797018773521396</v>
      </c>
      <c r="X569">
        <f t="shared" si="59"/>
        <v>0</v>
      </c>
      <c r="Y569">
        <f t="shared" si="60"/>
        <v>0</v>
      </c>
      <c r="Z569">
        <f t="shared" si="61"/>
        <v>0</v>
      </c>
      <c r="AA569">
        <f t="shared" si="62"/>
        <v>0</v>
      </c>
    </row>
    <row r="570" spans="1:27" x14ac:dyDescent="0.35">
      <c r="A570" s="1">
        <v>10.549501700419899</v>
      </c>
      <c r="B570" s="1">
        <v>75.0078795502573</v>
      </c>
      <c r="C570" s="1">
        <v>0.14088128006233699</v>
      </c>
      <c r="D570" s="1">
        <v>300.09884</v>
      </c>
      <c r="E570" s="1">
        <v>44.19697</v>
      </c>
      <c r="F570" s="1" t="s">
        <v>3</v>
      </c>
      <c r="G570" s="1">
        <v>1.3164100000000001</v>
      </c>
      <c r="H570" s="1">
        <v>0.87818652613501103</v>
      </c>
      <c r="I570" s="1">
        <v>0.10105</v>
      </c>
      <c r="J570" s="1">
        <v>99409268</v>
      </c>
      <c r="K570" s="1">
        <v>253981887</v>
      </c>
      <c r="L570" s="1">
        <v>2513535949</v>
      </c>
      <c r="M570" s="1">
        <v>223125105</v>
      </c>
      <c r="N570" s="1">
        <v>1851550950</v>
      </c>
      <c r="O570" s="1">
        <v>220603198</v>
      </c>
      <c r="P570" s="1">
        <v>1110906699</v>
      </c>
      <c r="Q570" s="1">
        <v>1056671232</v>
      </c>
      <c r="R570" s="1">
        <v>802689345</v>
      </c>
      <c r="S570" s="1">
        <v>297031280</v>
      </c>
      <c r="T570" s="1">
        <v>0.10279000000000001</v>
      </c>
      <c r="U570">
        <f t="shared" si="56"/>
        <v>0.94498141587069162</v>
      </c>
      <c r="V570">
        <f t="shared" si="57"/>
        <v>-2.1704544855101955</v>
      </c>
      <c r="W570">
        <f t="shared" si="58"/>
        <v>0.62738939204684518</v>
      </c>
      <c r="X570">
        <f t="shared" si="59"/>
        <v>0</v>
      </c>
      <c r="Y570">
        <f t="shared" si="60"/>
        <v>0</v>
      </c>
      <c r="Z570">
        <f t="shared" si="61"/>
        <v>0</v>
      </c>
      <c r="AA570">
        <f t="shared" si="62"/>
        <v>0</v>
      </c>
    </row>
    <row r="571" spans="1:27" x14ac:dyDescent="0.35">
      <c r="A571" s="1">
        <v>31.513531903935899</v>
      </c>
      <c r="B571" s="1">
        <v>106.48490005850999</v>
      </c>
      <c r="C571" s="1">
        <v>0.14074249601660199</v>
      </c>
      <c r="D571" s="1">
        <v>25.786619999999999</v>
      </c>
      <c r="E571" s="1">
        <v>12.82029</v>
      </c>
      <c r="F571" s="1">
        <v>3.15489</v>
      </c>
      <c r="G571" s="1">
        <v>1.35249</v>
      </c>
      <c r="H571" s="1">
        <v>0.84961077421433495</v>
      </c>
      <c r="I571" s="1">
        <v>0.10750999999999999</v>
      </c>
      <c r="J571" s="1">
        <v>189959546</v>
      </c>
      <c r="K571" s="1">
        <v>303111423</v>
      </c>
      <c r="L571">
        <v>2819419180</v>
      </c>
      <c r="M571">
        <v>852234011</v>
      </c>
      <c r="N571">
        <v>2265468068</v>
      </c>
      <c r="O571" s="1">
        <v>837587467</v>
      </c>
      <c r="P571">
        <v>361457794</v>
      </c>
      <c r="Q571">
        <v>1163027463</v>
      </c>
      <c r="R571">
        <v>859916040</v>
      </c>
      <c r="S571">
        <v>375286708</v>
      </c>
      <c r="T571">
        <v>0.26496999999999998</v>
      </c>
      <c r="U571">
        <f t="shared" si="56"/>
        <v>1.4948877898278679</v>
      </c>
      <c r="V571">
        <f t="shared" si="57"/>
        <v>-4.9006844415813511</v>
      </c>
      <c r="W571">
        <f t="shared" si="58"/>
        <v>0.69224119228485914</v>
      </c>
      <c r="X571">
        <f t="shared" si="59"/>
        <v>0</v>
      </c>
      <c r="Y571">
        <f t="shared" si="60"/>
        <v>0</v>
      </c>
      <c r="Z571">
        <f t="shared" si="61"/>
        <v>0</v>
      </c>
      <c r="AA571">
        <f t="shared" si="62"/>
        <v>0</v>
      </c>
    </row>
    <row r="572" spans="1:27" x14ac:dyDescent="0.35">
      <c r="A572" s="1">
        <v>13.4972504531132</v>
      </c>
      <c r="B572" s="1">
        <v>32.498390200919502</v>
      </c>
      <c r="C572" s="1">
        <v>0.26432759137933998</v>
      </c>
      <c r="D572" s="1">
        <v>111.56742</v>
      </c>
      <c r="E572" s="1">
        <v>32.359859999999998</v>
      </c>
      <c r="F572" s="1">
        <v>13.28219</v>
      </c>
      <c r="G572" s="1">
        <v>0.77634999999999998</v>
      </c>
      <c r="H572" s="1">
        <v>0.83891324828443603</v>
      </c>
      <c r="I572" s="1">
        <v>-8.9840000000000003E-2</v>
      </c>
      <c r="J572" s="1">
        <v>959194485</v>
      </c>
      <c r="K572" s="1">
        <v>-470315811</v>
      </c>
      <c r="L572" s="1">
        <v>5234794082</v>
      </c>
      <c r="M572" s="1">
        <v>1025808373</v>
      </c>
      <c r="N572" s="1">
        <v>3378393105</v>
      </c>
      <c r="O572" s="1">
        <v>536630808</v>
      </c>
      <c r="P572" s="1">
        <v>1693972282</v>
      </c>
      <c r="Q572" s="1">
        <v>1632573975</v>
      </c>
      <c r="R572" s="1">
        <v>2102889786</v>
      </c>
      <c r="S572" s="1">
        <v>1064475396</v>
      </c>
      <c r="T572" s="1">
        <v>0.16755</v>
      </c>
      <c r="U572">
        <f t="shared" si="56"/>
        <v>1.1118362246592322</v>
      </c>
      <c r="V572">
        <f t="shared" si="57"/>
        <v>-2.9136876938512839</v>
      </c>
      <c r="W572">
        <f t="shared" si="58"/>
        <v>0.60258769801138479</v>
      </c>
      <c r="X572">
        <f t="shared" si="59"/>
        <v>0</v>
      </c>
      <c r="Y572">
        <f t="shared" si="60"/>
        <v>0</v>
      </c>
      <c r="Z572">
        <f t="shared" si="61"/>
        <v>0</v>
      </c>
      <c r="AA572">
        <f t="shared" si="62"/>
        <v>0</v>
      </c>
    </row>
    <row r="573" spans="1:27" x14ac:dyDescent="0.35">
      <c r="A573" s="1">
        <v>5.0720113849761503</v>
      </c>
      <c r="B573" s="1">
        <v>19.627791596840499</v>
      </c>
      <c r="C573" s="1">
        <v>0.105018981628444</v>
      </c>
      <c r="D573" s="1">
        <v>465.79678999999999</v>
      </c>
      <c r="E573" s="1">
        <v>61.960940000000001</v>
      </c>
      <c r="F573" s="1">
        <v>1.5745499999999999</v>
      </c>
      <c r="G573" s="1">
        <v>1.09294</v>
      </c>
      <c r="H573" s="1">
        <v>0.65533563893578906</v>
      </c>
      <c r="I573" s="1">
        <v>2.64E-2</v>
      </c>
      <c r="J573" s="1">
        <v>246038514</v>
      </c>
      <c r="K573" s="1">
        <v>157068298</v>
      </c>
      <c r="L573">
        <v>5950384557</v>
      </c>
      <c r="M573">
        <v>434647053</v>
      </c>
      <c r="N573">
        <v>3665023095</v>
      </c>
      <c r="O573" s="1">
        <v>200648708</v>
      </c>
      <c r="P573">
        <v>3686914105</v>
      </c>
      <c r="Q573">
        <v>1847086984</v>
      </c>
      <c r="R573">
        <v>1690018686</v>
      </c>
      <c r="S573">
        <v>587328035</v>
      </c>
      <c r="T573">
        <v>6.4560000000000006E-2</v>
      </c>
      <c r="U573">
        <f t="shared" si="56"/>
        <v>0.7463242828146448</v>
      </c>
      <c r="V573">
        <f t="shared" si="57"/>
        <v>-0.91559607718324931</v>
      </c>
      <c r="W573">
        <f t="shared" si="58"/>
        <v>0.43708261155279821</v>
      </c>
      <c r="X573">
        <f t="shared" si="59"/>
        <v>1</v>
      </c>
      <c r="Y573">
        <f t="shared" si="60"/>
        <v>0</v>
      </c>
      <c r="Z573">
        <f t="shared" si="61"/>
        <v>0</v>
      </c>
      <c r="AA573">
        <f t="shared" si="62"/>
        <v>0</v>
      </c>
    </row>
    <row r="574" spans="1:27" x14ac:dyDescent="0.35">
      <c r="A574" s="1">
        <v>4.1098293285931797</v>
      </c>
      <c r="B574" s="1">
        <v>23.839995100212199</v>
      </c>
      <c r="C574" s="1">
        <v>8.8981575743835001E-2</v>
      </c>
      <c r="D574" s="1">
        <v>322.37912999999998</v>
      </c>
      <c r="E574" s="1">
        <v>57.288310000000003</v>
      </c>
      <c r="F574" s="1">
        <v>0.44192999999999999</v>
      </c>
      <c r="G574" s="1">
        <v>1.88981</v>
      </c>
      <c r="H574" s="1">
        <v>0.45213888665055402</v>
      </c>
      <c r="I574" s="1">
        <v>0.17355000000000001</v>
      </c>
      <c r="J574" s="1">
        <v>241635045</v>
      </c>
      <c r="K574" s="1">
        <v>1214237025</v>
      </c>
      <c r="L574">
        <v>6996640379</v>
      </c>
      <c r="M574">
        <v>294684313</v>
      </c>
      <c r="N574">
        <v>2926926720</v>
      </c>
      <c r="O574" s="1">
        <v>30255303</v>
      </c>
      <c r="P574">
        <v>4008257250</v>
      </c>
      <c r="Q574">
        <v>2578833353</v>
      </c>
      <c r="R574">
        <v>1364596328</v>
      </c>
      <c r="S574">
        <v>576023340</v>
      </c>
      <c r="T574">
        <v>2.1690000000000001E-2</v>
      </c>
      <c r="U574">
        <f t="shared" si="56"/>
        <v>0.74136091986885144</v>
      </c>
      <c r="V574">
        <f t="shared" si="57"/>
        <v>-1.0464660713727796</v>
      </c>
      <c r="W574">
        <f t="shared" si="58"/>
        <v>0.62366605837824496</v>
      </c>
      <c r="X574">
        <f t="shared" si="59"/>
        <v>1</v>
      </c>
      <c r="Y574">
        <f t="shared" si="60"/>
        <v>0</v>
      </c>
      <c r="Z574">
        <f t="shared" si="61"/>
        <v>0</v>
      </c>
      <c r="AA574">
        <f t="shared" si="62"/>
        <v>0</v>
      </c>
    </row>
    <row r="575" spans="1:27" x14ac:dyDescent="0.35">
      <c r="A575" s="1">
        <v>2.9728623654747302</v>
      </c>
      <c r="B575" s="1">
        <v>23.950699459501902</v>
      </c>
      <c r="C575" s="1">
        <v>0.14692487057498199</v>
      </c>
      <c r="D575" s="1">
        <v>371.04034999999999</v>
      </c>
      <c r="E575" s="1">
        <v>55.888800000000003</v>
      </c>
      <c r="F575" s="1">
        <v>1.5965499999999999</v>
      </c>
      <c r="G575" s="1">
        <v>1.09751</v>
      </c>
      <c r="H575" s="1">
        <v>0.55331211297706595</v>
      </c>
      <c r="I575" s="1">
        <v>3.0700000000000002E-2</v>
      </c>
      <c r="J575" s="1">
        <v>243264733</v>
      </c>
      <c r="K575" s="1">
        <v>229182721</v>
      </c>
      <c r="L575">
        <v>7465325738</v>
      </c>
      <c r="M575">
        <v>470476661</v>
      </c>
      <c r="N575">
        <v>4000990515</v>
      </c>
      <c r="O575" s="1">
        <v>86689130</v>
      </c>
      <c r="P575">
        <v>4172280827</v>
      </c>
      <c r="Q575">
        <v>2579611026</v>
      </c>
      <c r="R575">
        <v>2350428305</v>
      </c>
      <c r="S575">
        <v>1062411250</v>
      </c>
      <c r="T575">
        <v>4.1349999999999998E-2</v>
      </c>
      <c r="U575">
        <f t="shared" si="56"/>
        <v>0.81500791737171074</v>
      </c>
      <c r="V575">
        <f t="shared" si="57"/>
        <v>-1.1622035482744768</v>
      </c>
      <c r="W575">
        <f t="shared" si="58"/>
        <v>0.59227288037675718</v>
      </c>
      <c r="X575">
        <f t="shared" si="59"/>
        <v>1</v>
      </c>
      <c r="Y575">
        <f t="shared" si="60"/>
        <v>0</v>
      </c>
      <c r="Z575">
        <f t="shared" si="61"/>
        <v>0</v>
      </c>
      <c r="AA575">
        <f t="shared" si="62"/>
        <v>0</v>
      </c>
    </row>
    <row r="576" spans="1:27" x14ac:dyDescent="0.35">
      <c r="A576" s="1">
        <v>-9.5228416025500895</v>
      </c>
      <c r="B576" s="1">
        <v>-133.95362568590201</v>
      </c>
      <c r="C576" s="1">
        <v>5.4443152143601001E-2</v>
      </c>
      <c r="D576" s="1">
        <v>1115.90996</v>
      </c>
      <c r="E576" s="1">
        <v>59.502890000000001</v>
      </c>
      <c r="F576" s="1">
        <v>0.65010000000000001</v>
      </c>
      <c r="G576" s="1">
        <v>0.88426000000000005</v>
      </c>
      <c r="H576" s="1">
        <v>0.50952855724921997</v>
      </c>
      <c r="I576" s="1">
        <v>-4.0280000000000003E-2</v>
      </c>
      <c r="J576" s="1">
        <v>240846428</v>
      </c>
      <c r="K576" s="1">
        <v>-296232773</v>
      </c>
      <c r="L576">
        <v>7354327207</v>
      </c>
      <c r="M576">
        <v>-589620975</v>
      </c>
      <c r="N576">
        <v>3775518192</v>
      </c>
      <c r="O576" s="1">
        <v>-679681381</v>
      </c>
      <c r="P576">
        <v>4376037575</v>
      </c>
      <c r="Q576">
        <v>2263210808</v>
      </c>
      <c r="R576">
        <v>2559443581</v>
      </c>
      <c r="S576">
        <v>403414310</v>
      </c>
      <c r="T576">
        <v>-5.237E-2</v>
      </c>
      <c r="U576">
        <f t="shared" si="56"/>
        <v>0.18021810921129747</v>
      </c>
      <c r="V576">
        <f t="shared" si="57"/>
        <v>-0.48891135507874522</v>
      </c>
      <c r="W576">
        <f t="shared" si="58"/>
        <v>0.17578222291530954</v>
      </c>
      <c r="X576">
        <f t="shared" si="59"/>
        <v>1</v>
      </c>
      <c r="Y576">
        <f t="shared" si="60"/>
        <v>0</v>
      </c>
      <c r="Z576">
        <f t="shared" si="61"/>
        <v>0</v>
      </c>
      <c r="AA576">
        <f t="shared" si="62"/>
        <v>0</v>
      </c>
    </row>
    <row r="577" spans="1:27" x14ac:dyDescent="0.35">
      <c r="A577" s="1">
        <v>-9.1947716720950403</v>
      </c>
      <c r="B577" s="1" t="s">
        <v>3</v>
      </c>
      <c r="C577" s="1">
        <v>2.8207078580154001E-2</v>
      </c>
      <c r="D577" s="1" t="s">
        <v>3</v>
      </c>
      <c r="E577" s="1">
        <v>63.253950000000003</v>
      </c>
      <c r="F577" s="1">
        <v>0.30637999999999999</v>
      </c>
      <c r="G577" s="1">
        <v>0.41192000000000001</v>
      </c>
      <c r="H577" s="1">
        <v>0.49413097744185303</v>
      </c>
      <c r="I577" s="1">
        <v>-0.39629999999999999</v>
      </c>
      <c r="J577" s="1">
        <v>29290917</v>
      </c>
      <c r="K577" s="1">
        <v>-2775677556</v>
      </c>
      <c r="L577">
        <v>7003908115</v>
      </c>
      <c r="M577">
        <v>-704898241</v>
      </c>
      <c r="N577">
        <v>3547424427</v>
      </c>
      <c r="O577" s="1">
        <v>-619762805</v>
      </c>
      <c r="P577">
        <v>4430248294</v>
      </c>
      <c r="Q577">
        <v>1944236777</v>
      </c>
      <c r="R577">
        <v>4719914333</v>
      </c>
      <c r="S577">
        <v>202501936</v>
      </c>
      <c r="T577">
        <v>-0.14688000000000001</v>
      </c>
      <c r="U577">
        <f t="shared" si="56"/>
        <v>-0.21540243505419007</v>
      </c>
      <c r="V577">
        <f t="shared" si="57"/>
        <v>-0.29468072761967851</v>
      </c>
      <c r="W577">
        <f t="shared" si="58"/>
        <v>-0.49989873683272895</v>
      </c>
      <c r="X577">
        <f t="shared" si="59"/>
        <v>1</v>
      </c>
      <c r="Y577">
        <f t="shared" si="60"/>
        <v>0</v>
      </c>
      <c r="Z577">
        <f t="shared" si="61"/>
        <v>1</v>
      </c>
      <c r="AA577">
        <f t="shared" si="62"/>
        <v>1</v>
      </c>
    </row>
    <row r="578" spans="1:27" x14ac:dyDescent="0.35">
      <c r="A578" s="1">
        <v>-7.7259428062305604</v>
      </c>
      <c r="B578" s="1" t="s">
        <v>3</v>
      </c>
      <c r="C578" s="1">
        <v>-2.2136894004597001E-2</v>
      </c>
      <c r="D578" s="1" t="s">
        <v>3</v>
      </c>
      <c r="E578" s="1">
        <v>98.982259999999997</v>
      </c>
      <c r="F578" s="1">
        <v>-0.15181</v>
      </c>
      <c r="G578" s="1">
        <v>0.15483</v>
      </c>
      <c r="H578" s="1">
        <v>1.0670051904255001E-2</v>
      </c>
      <c r="I578" s="1">
        <v>-0.90666000000000002</v>
      </c>
      <c r="J578" s="1">
        <v>-187815765</v>
      </c>
      <c r="K578" s="1">
        <v>-4174276778</v>
      </c>
      <c r="L578">
        <v>4603993244</v>
      </c>
      <c r="M578">
        <v>-392068781</v>
      </c>
      <c r="N578">
        <v>61928455</v>
      </c>
      <c r="O578" s="1">
        <v>-477100837</v>
      </c>
      <c r="P578">
        <v>4557136754</v>
      </c>
      <c r="Q578">
        <v>764674650</v>
      </c>
      <c r="R578">
        <v>4938951428</v>
      </c>
      <c r="S578">
        <v>-128481441</v>
      </c>
      <c r="T578">
        <v>-0.31085000000000002</v>
      </c>
      <c r="U578">
        <f t="shared" ref="U578:U641" si="63">1.03*(K578/L578) + 3.07*(S578/L578) + 0.66*(M578/R578) +0.4*(N578/L578)</f>
        <v>-1.0665497249882236</v>
      </c>
      <c r="V578">
        <f t="shared" ref="V578:V641" si="64">-4.3-4.5*(O578/L578)+5.7*(P578/L578)+0.004*(Q578/R578)</f>
        <v>1.8089326226845877</v>
      </c>
      <c r="W578">
        <f t="shared" ref="W578:W641" si="65">0.057+1.65*(K578/L578)+3.404*(S578/L578)+0.016*(O578/L578)</f>
        <v>-1.5356481064697234</v>
      </c>
      <c r="X578">
        <f t="shared" si="59"/>
        <v>1</v>
      </c>
      <c r="Y578">
        <f t="shared" si="60"/>
        <v>1</v>
      </c>
      <c r="Z578">
        <f t="shared" si="61"/>
        <v>1</v>
      </c>
      <c r="AA578">
        <f t="shared" si="62"/>
        <v>1</v>
      </c>
    </row>
    <row r="579" spans="1:27" x14ac:dyDescent="0.35">
      <c r="A579" s="1">
        <v>-54.648833387109804</v>
      </c>
      <c r="B579" s="1" t="s">
        <v>3</v>
      </c>
      <c r="C579" s="1">
        <v>-2.494109256385E-3</v>
      </c>
      <c r="D579" s="1" t="s">
        <v>3</v>
      </c>
      <c r="E579" s="1">
        <v>147.91050999999999</v>
      </c>
      <c r="F579" s="1">
        <v>-2.2009999999999998E-2</v>
      </c>
      <c r="G579" s="1">
        <v>9.9000000000000005E-2</v>
      </c>
      <c r="H579" s="1">
        <v>1.0128825489031001E-2</v>
      </c>
      <c r="I579" s="1">
        <v>-1.45309</v>
      </c>
      <c r="J579" s="1">
        <v>-31885164</v>
      </c>
      <c r="K579" s="1">
        <v>-4932190478</v>
      </c>
      <c r="L579">
        <v>3394276258</v>
      </c>
      <c r="M579">
        <v>-2084216367</v>
      </c>
      <c r="N579">
        <v>40506538</v>
      </c>
      <c r="O579" s="1">
        <v>-2229132228</v>
      </c>
      <c r="P579">
        <v>5020491314</v>
      </c>
      <c r="Q579">
        <v>541962176</v>
      </c>
      <c r="R579">
        <v>5474152654</v>
      </c>
      <c r="S579">
        <v>-9974279</v>
      </c>
      <c r="T579">
        <v>-0.98906000000000005</v>
      </c>
      <c r="U579">
        <f t="shared" si="63"/>
        <v>-1.7522179369758564</v>
      </c>
      <c r="V579">
        <f t="shared" si="64"/>
        <v>7.0865922404951398</v>
      </c>
      <c r="W579">
        <f t="shared" si="65"/>
        <v>-2.3611098491082214</v>
      </c>
      <c r="X579">
        <f t="shared" ref="X579:X642" si="66">IF(U579&gt;=0.862,0,1)</f>
        <v>1</v>
      </c>
      <c r="Y579">
        <f t="shared" ref="Y579:Y642" si="67">IF(V579&lt;=0,0,1)</f>
        <v>1</v>
      </c>
      <c r="Z579">
        <f t="shared" ref="Z579:Z642" si="68">IF(W579&gt;=0.01,0,1)</f>
        <v>1</v>
      </c>
      <c r="AA579">
        <f t="shared" ref="AA579:AA642" si="69">IF(SUM(X579:Z579)&gt;=2,1,0)</f>
        <v>1</v>
      </c>
    </row>
    <row r="580" spans="1:27" x14ac:dyDescent="0.35">
      <c r="A580" s="1">
        <v>3.70218628816755</v>
      </c>
      <c r="B580" s="1" t="s">
        <v>3</v>
      </c>
      <c r="C580" s="1">
        <v>-1.6580900196009999E-3</v>
      </c>
      <c r="D580" s="1" t="s">
        <v>3</v>
      </c>
      <c r="E580" s="1">
        <v>171.15568999999999</v>
      </c>
      <c r="F580" s="1">
        <v>-2.1139999999999999E-2</v>
      </c>
      <c r="G580" s="1">
        <v>0.69235999999999998</v>
      </c>
      <c r="H580" s="1">
        <v>7.1954243307839998E-3</v>
      </c>
      <c r="I580" s="1">
        <v>-7.5789999999999996E-2</v>
      </c>
      <c r="J580" s="1">
        <v>-53056974</v>
      </c>
      <c r="K580" s="1">
        <v>-235118702</v>
      </c>
      <c r="L580">
        <v>3102193700</v>
      </c>
      <c r="M580">
        <v>-93636824</v>
      </c>
      <c r="N580">
        <v>23372429</v>
      </c>
      <c r="O580" s="1">
        <v>36002918</v>
      </c>
      <c r="P580">
        <v>5309580960</v>
      </c>
      <c r="Q580">
        <v>529147220</v>
      </c>
      <c r="R580">
        <v>764265922</v>
      </c>
      <c r="S580">
        <v>-5385866</v>
      </c>
      <c r="T580">
        <v>-1.0611600000000001</v>
      </c>
      <c r="U580">
        <f t="shared" si="63"/>
        <v>-0.16124345562963363</v>
      </c>
      <c r="V580">
        <f t="shared" si="64"/>
        <v>5.4064182940594856</v>
      </c>
      <c r="W580">
        <f t="shared" si="65"/>
        <v>-7.3779486618130927E-2</v>
      </c>
      <c r="X580">
        <f t="shared" si="66"/>
        <v>1</v>
      </c>
      <c r="Y580">
        <f t="shared" si="67"/>
        <v>1</v>
      </c>
      <c r="Z580">
        <f t="shared" si="68"/>
        <v>1</v>
      </c>
      <c r="AA580">
        <f t="shared" si="69"/>
        <v>1</v>
      </c>
    </row>
    <row r="581" spans="1:27" x14ac:dyDescent="0.35">
      <c r="A581" s="1">
        <v>7.1409668633800001</v>
      </c>
      <c r="B581" s="1" t="s">
        <v>3</v>
      </c>
      <c r="C581" s="1">
        <v>-6.1983543292939997E-3</v>
      </c>
      <c r="D581" s="1">
        <v>696.68991000000005</v>
      </c>
      <c r="E581" s="1">
        <v>53.969410000000003</v>
      </c>
      <c r="F581" s="1">
        <v>-0.10195</v>
      </c>
      <c r="G581" s="1">
        <v>0.56894</v>
      </c>
      <c r="H581" s="1">
        <v>5.1088256895210002E-3</v>
      </c>
      <c r="I581" s="1">
        <v>-0.15537999999999999</v>
      </c>
      <c r="J581" s="1">
        <v>-127707513</v>
      </c>
      <c r="K581" s="1">
        <v>-574356930</v>
      </c>
      <c r="L581" s="1">
        <v>3696498624</v>
      </c>
      <c r="M581" s="1">
        <v>103109572</v>
      </c>
      <c r="N581" s="1">
        <v>17366667</v>
      </c>
      <c r="O581" s="1">
        <v>36130745</v>
      </c>
      <c r="P581" s="1">
        <v>1994978540</v>
      </c>
      <c r="Q581" s="1">
        <v>758083685</v>
      </c>
      <c r="R581" s="1">
        <v>1332440615</v>
      </c>
      <c r="S581" s="1">
        <v>-21070352</v>
      </c>
      <c r="T581" s="1">
        <v>-0.79169999999999996</v>
      </c>
      <c r="U581">
        <f t="shared" si="63"/>
        <v>-0.12458656714980458</v>
      </c>
      <c r="V581">
        <f t="shared" si="64"/>
        <v>-1.2654522117246441</v>
      </c>
      <c r="W581">
        <f t="shared" si="65"/>
        <v>-0.21862145273721598</v>
      </c>
      <c r="X581">
        <f t="shared" si="66"/>
        <v>1</v>
      </c>
      <c r="Y581">
        <f t="shared" si="67"/>
        <v>0</v>
      </c>
      <c r="Z581">
        <f t="shared" si="68"/>
        <v>1</v>
      </c>
      <c r="AA581">
        <f t="shared" si="69"/>
        <v>1</v>
      </c>
    </row>
    <row r="582" spans="1:27" x14ac:dyDescent="0.35">
      <c r="A582" s="1">
        <v>4.1618486694779797</v>
      </c>
      <c r="B582" s="1" t="s">
        <v>3</v>
      </c>
      <c r="C582" s="1">
        <v>1.0163492543467E-2</v>
      </c>
      <c r="D582" s="1">
        <v>405.21715</v>
      </c>
      <c r="E582" s="1">
        <v>52.235460000000003</v>
      </c>
      <c r="F582" s="1">
        <v>0.24843000000000001</v>
      </c>
      <c r="G582" s="1">
        <v>0.39767000000000002</v>
      </c>
      <c r="H582" s="1">
        <v>0.292458386250805</v>
      </c>
      <c r="I582" s="1">
        <v>-0.17868999999999999</v>
      </c>
      <c r="J582" s="1">
        <v>-109819895</v>
      </c>
      <c r="K582" s="1">
        <v>-698092478</v>
      </c>
      <c r="L582" s="1">
        <v>3906773939</v>
      </c>
      <c r="M582" s="1">
        <v>-63469569</v>
      </c>
      <c r="N582" s="1">
        <v>1111820412</v>
      </c>
      <c r="O582" s="1">
        <v>-72080796</v>
      </c>
      <c r="P582" s="1">
        <v>2040721533</v>
      </c>
      <c r="Q582" s="1">
        <v>460903744</v>
      </c>
      <c r="R582" s="1">
        <v>1158996222</v>
      </c>
      <c r="S582" s="1">
        <v>38637902</v>
      </c>
      <c r="T582" s="1">
        <v>-0.69252999999999998</v>
      </c>
      <c r="U582">
        <f t="shared" si="63"/>
        <v>-7.5994241187339023E-2</v>
      </c>
      <c r="V582">
        <f t="shared" si="64"/>
        <v>-1.2379618551957383</v>
      </c>
      <c r="W582">
        <f t="shared" si="65"/>
        <v>-0.20446444073225911</v>
      </c>
      <c r="X582">
        <f t="shared" si="66"/>
        <v>1</v>
      </c>
      <c r="Y582">
        <f t="shared" si="67"/>
        <v>0</v>
      </c>
      <c r="Z582">
        <f t="shared" si="68"/>
        <v>1</v>
      </c>
      <c r="AA582">
        <f t="shared" si="69"/>
        <v>1</v>
      </c>
    </row>
    <row r="583" spans="1:27" x14ac:dyDescent="0.35">
      <c r="A583" s="1">
        <v>0.24890946286672599</v>
      </c>
      <c r="B583" s="1" t="s">
        <v>3</v>
      </c>
      <c r="C583" s="1">
        <v>8.5031276898839998E-3</v>
      </c>
      <c r="D583" s="1">
        <v>343.48340999999999</v>
      </c>
      <c r="E583" s="1">
        <v>47.303170000000001</v>
      </c>
      <c r="F583" s="1">
        <v>0.21965999999999999</v>
      </c>
      <c r="G583" s="1">
        <v>0.38708999999999999</v>
      </c>
      <c r="H583" s="1">
        <v>0.29241210668034601</v>
      </c>
      <c r="I583" s="1">
        <v>-0.19414000000000001</v>
      </c>
      <c r="J583" s="1">
        <v>-30080164</v>
      </c>
      <c r="K583" s="1">
        <v>-718846011</v>
      </c>
      <c r="L583">
        <v>3702805778</v>
      </c>
      <c r="M583">
        <v>-119590835</v>
      </c>
      <c r="N583">
        <v>1112566618</v>
      </c>
      <c r="O583" s="1">
        <v>-91104256</v>
      </c>
      <c r="P583">
        <v>1751544468</v>
      </c>
      <c r="Q583">
        <v>454001034</v>
      </c>
      <c r="R583">
        <v>1172847045</v>
      </c>
      <c r="S583">
        <v>32352614</v>
      </c>
      <c r="T583">
        <v>-0.72970000000000002</v>
      </c>
      <c r="U583">
        <f t="shared" si="63"/>
        <v>-0.12024737253055093</v>
      </c>
      <c r="V583">
        <f t="shared" si="64"/>
        <v>-1.4914524914847309</v>
      </c>
      <c r="W583">
        <f t="shared" si="65"/>
        <v>-0.23397537186299591</v>
      </c>
      <c r="X583">
        <f t="shared" si="66"/>
        <v>1</v>
      </c>
      <c r="Y583">
        <f t="shared" si="67"/>
        <v>0</v>
      </c>
      <c r="Z583">
        <f t="shared" si="68"/>
        <v>1</v>
      </c>
      <c r="AA583">
        <f t="shared" si="69"/>
        <v>1</v>
      </c>
    </row>
    <row r="584" spans="1:27" x14ac:dyDescent="0.35">
      <c r="A584" s="1">
        <v>-9.4610608146036501</v>
      </c>
      <c r="B584" s="1" t="s">
        <v>3</v>
      </c>
      <c r="C584" s="1">
        <v>-3.6314942373783E-2</v>
      </c>
      <c r="D584" s="1">
        <v>1295.2443699999999</v>
      </c>
      <c r="E584" s="1">
        <v>50.108249999999998</v>
      </c>
      <c r="F584" s="1">
        <v>-0.58194000000000001</v>
      </c>
      <c r="G584" s="1">
        <v>0.30598999999999998</v>
      </c>
      <c r="H584" s="1">
        <v>0.22167912676406701</v>
      </c>
      <c r="I584" s="1">
        <v>-0.26288</v>
      </c>
      <c r="J584" s="1">
        <v>-8159173</v>
      </c>
      <c r="K584" s="1">
        <v>-901287929</v>
      </c>
      <c r="L584">
        <v>3428550327</v>
      </c>
      <c r="M584">
        <v>-369294390</v>
      </c>
      <c r="N584">
        <v>790436397</v>
      </c>
      <c r="O584" s="1">
        <v>-384205940</v>
      </c>
      <c r="P584">
        <v>1717986597</v>
      </c>
      <c r="Q584">
        <v>397376705</v>
      </c>
      <c r="R584">
        <v>1298664634</v>
      </c>
      <c r="S584">
        <v>-129487393</v>
      </c>
      <c r="T584">
        <v>-0.89559</v>
      </c>
      <c r="U584">
        <f t="shared" si="63"/>
        <v>-0.48217202555208144</v>
      </c>
      <c r="V584">
        <f t="shared" si="64"/>
        <v>-0.9383323491608454</v>
      </c>
      <c r="W584">
        <f t="shared" si="65"/>
        <v>-0.50710064872937177</v>
      </c>
      <c r="X584">
        <f t="shared" si="66"/>
        <v>1</v>
      </c>
      <c r="Y584">
        <f t="shared" si="67"/>
        <v>0</v>
      </c>
      <c r="Z584">
        <f t="shared" si="68"/>
        <v>1</v>
      </c>
      <c r="AA584">
        <f t="shared" si="69"/>
        <v>1</v>
      </c>
    </row>
    <row r="585" spans="1:27" x14ac:dyDescent="0.35">
      <c r="A585" s="1">
        <v>5.83813797291225</v>
      </c>
      <c r="B585" s="1" t="s">
        <v>3</v>
      </c>
      <c r="C585" s="1">
        <v>3.2371811402984001E-2</v>
      </c>
      <c r="D585" s="1">
        <v>289.91978999999998</v>
      </c>
      <c r="E585" s="1">
        <v>44.371949999999998</v>
      </c>
      <c r="F585" s="1">
        <v>0.58077999999999996</v>
      </c>
      <c r="G585" s="1">
        <v>0.26956000000000002</v>
      </c>
      <c r="H585" s="1">
        <v>0.26350457232499003</v>
      </c>
      <c r="I585" s="1">
        <v>-0.49756</v>
      </c>
      <c r="J585" s="1">
        <v>-70217043</v>
      </c>
      <c r="K585" s="1">
        <v>-2101607930</v>
      </c>
      <c r="L585">
        <v>4223787286</v>
      </c>
      <c r="M585">
        <v>14111194</v>
      </c>
      <c r="N585">
        <v>1008212975</v>
      </c>
      <c r="O585" s="1">
        <v>-53573471</v>
      </c>
      <c r="P585">
        <v>1874176905</v>
      </c>
      <c r="Q585">
        <v>775582880</v>
      </c>
      <c r="R585">
        <v>2877190810</v>
      </c>
      <c r="S585">
        <v>123860015</v>
      </c>
      <c r="T585">
        <v>-0.68723000000000001</v>
      </c>
      <c r="U585">
        <f t="shared" si="63"/>
        <v>-0.32374936407001975</v>
      </c>
      <c r="V585">
        <f t="shared" si="64"/>
        <v>-1.7126435501046937</v>
      </c>
      <c r="W585">
        <f t="shared" si="65"/>
        <v>-0.66436463383823907</v>
      </c>
      <c r="X585">
        <f t="shared" si="66"/>
        <v>1</v>
      </c>
      <c r="Y585">
        <f t="shared" si="67"/>
        <v>0</v>
      </c>
      <c r="Z585">
        <f t="shared" si="68"/>
        <v>1</v>
      </c>
      <c r="AA585">
        <f t="shared" si="69"/>
        <v>1</v>
      </c>
    </row>
    <row r="586" spans="1:27" x14ac:dyDescent="0.35">
      <c r="A586" s="1">
        <v>13.282040224030901</v>
      </c>
      <c r="B586" s="1">
        <v>95.704280099280993</v>
      </c>
      <c r="C586" s="1">
        <v>5.1278113761589E-2</v>
      </c>
      <c r="D586" s="1">
        <v>20.52102</v>
      </c>
      <c r="E586" s="1">
        <v>12.887269999999999</v>
      </c>
      <c r="F586" s="1">
        <v>1.3817600000000001</v>
      </c>
      <c r="G586" s="1">
        <v>0.83740999999999999</v>
      </c>
      <c r="H586" s="1">
        <v>0.42013653461087302</v>
      </c>
      <c r="I586" s="1">
        <v>-3.3430000000000001E-2</v>
      </c>
      <c r="J586" s="1">
        <v>-536809164</v>
      </c>
      <c r="K586" s="1">
        <v>-150029839</v>
      </c>
      <c r="L586">
        <v>4488046969</v>
      </c>
      <c r="M586">
        <v>52990695</v>
      </c>
      <c r="N586">
        <v>1830079927</v>
      </c>
      <c r="O586" s="1">
        <v>-62599548</v>
      </c>
      <c r="P586">
        <v>578386537</v>
      </c>
      <c r="Q586">
        <v>772731911</v>
      </c>
      <c r="R586">
        <v>922761750</v>
      </c>
      <c r="S586">
        <v>223363214</v>
      </c>
      <c r="T586">
        <v>-0.52980000000000005</v>
      </c>
      <c r="U586">
        <f t="shared" si="63"/>
        <v>0.31936587864357024</v>
      </c>
      <c r="V586">
        <f t="shared" si="64"/>
        <v>-3.4993099376717121</v>
      </c>
      <c r="W586">
        <f t="shared" si="65"/>
        <v>0.17103123828092004</v>
      </c>
      <c r="X586">
        <f t="shared" si="66"/>
        <v>1</v>
      </c>
      <c r="Y586">
        <f t="shared" si="67"/>
        <v>0</v>
      </c>
      <c r="Z586">
        <f t="shared" si="68"/>
        <v>0</v>
      </c>
      <c r="AA586">
        <f t="shared" si="69"/>
        <v>0</v>
      </c>
    </row>
    <row r="587" spans="1:27" x14ac:dyDescent="0.35">
      <c r="A587" s="1">
        <v>0.74621340826409599</v>
      </c>
      <c r="B587" s="1">
        <v>0.69988471208674896</v>
      </c>
      <c r="C587" s="1">
        <v>1.3074198573087999E-2</v>
      </c>
      <c r="D587" s="1">
        <v>18.11271</v>
      </c>
      <c r="E587" s="1">
        <v>11.958690000000001</v>
      </c>
      <c r="F587" s="1">
        <v>2.5201099999999999</v>
      </c>
      <c r="G587" s="1">
        <v>0.89771999999999996</v>
      </c>
      <c r="H587" s="1">
        <v>0.38660655730941601</v>
      </c>
      <c r="I587" s="1">
        <v>-1.9099999999999999E-2</v>
      </c>
      <c r="J587" s="1">
        <v>-89570843</v>
      </c>
      <c r="K587" s="1">
        <v>-80286645</v>
      </c>
      <c r="L587">
        <v>4202694216</v>
      </c>
      <c r="M587">
        <v>-14587539</v>
      </c>
      <c r="N587">
        <v>1679948765</v>
      </c>
      <c r="O587" s="1">
        <v>-64512015</v>
      </c>
      <c r="P587">
        <v>502587112</v>
      </c>
      <c r="Q587">
        <v>704716702</v>
      </c>
      <c r="R587">
        <v>785003347</v>
      </c>
      <c r="S587">
        <v>56812238</v>
      </c>
      <c r="T587">
        <v>-0.56405000000000005</v>
      </c>
      <c r="U587">
        <f t="shared" si="63"/>
        <v>0.16945161969799161</v>
      </c>
      <c r="V587">
        <f t="shared" si="64"/>
        <v>-3.5456881494417565</v>
      </c>
      <c r="W587">
        <f t="shared" si="65"/>
        <v>7.124888383123805E-2</v>
      </c>
      <c r="X587">
        <f t="shared" si="66"/>
        <v>1</v>
      </c>
      <c r="Y587">
        <f t="shared" si="67"/>
        <v>0</v>
      </c>
      <c r="Z587">
        <f t="shared" si="68"/>
        <v>0</v>
      </c>
      <c r="AA587">
        <f t="shared" si="69"/>
        <v>0</v>
      </c>
    </row>
    <row r="588" spans="1:27" x14ac:dyDescent="0.35">
      <c r="A588" s="1">
        <v>2.2394894803166299</v>
      </c>
      <c r="B588" s="1">
        <v>4.2800222875249201</v>
      </c>
      <c r="C588" s="1">
        <v>1.4598929574971E-2</v>
      </c>
      <c r="D588" s="1">
        <v>16.579450000000001</v>
      </c>
      <c r="E588" s="1">
        <v>11.40596</v>
      </c>
      <c r="F588" s="1">
        <v>2.8976099999999998</v>
      </c>
      <c r="G588" s="1">
        <v>1.00542</v>
      </c>
      <c r="H588" s="1">
        <v>0.32504517947283201</v>
      </c>
      <c r="I588" s="1">
        <v>1E-3</v>
      </c>
      <c r="J588" s="1">
        <v>-4459683</v>
      </c>
      <c r="K588" s="1">
        <v>4168598</v>
      </c>
      <c r="L588">
        <v>4163401077</v>
      </c>
      <c r="M588">
        <v>35552232</v>
      </c>
      <c r="N588">
        <v>1359679473</v>
      </c>
      <c r="O588" s="1">
        <v>7329924</v>
      </c>
      <c r="P588">
        <v>474875905</v>
      </c>
      <c r="Q588">
        <v>772663660</v>
      </c>
      <c r="R588">
        <v>768495062</v>
      </c>
      <c r="S588">
        <v>61068018</v>
      </c>
      <c r="T588">
        <v>-0.55330000000000001</v>
      </c>
      <c r="U588">
        <f t="shared" si="63"/>
        <v>0.20722612164428034</v>
      </c>
      <c r="V588">
        <f t="shared" si="64"/>
        <v>-3.6537610500929243</v>
      </c>
      <c r="W588">
        <f t="shared" si="65"/>
        <v>0.10860948820016843</v>
      </c>
      <c r="X588">
        <f t="shared" si="66"/>
        <v>1</v>
      </c>
      <c r="Y588">
        <f t="shared" si="67"/>
        <v>0</v>
      </c>
      <c r="Z588">
        <f t="shared" si="68"/>
        <v>0</v>
      </c>
      <c r="AA588">
        <f t="shared" si="69"/>
        <v>0</v>
      </c>
    </row>
    <row r="589" spans="1:27" x14ac:dyDescent="0.35">
      <c r="A589" s="1" t="s">
        <v>3</v>
      </c>
      <c r="B589" s="1" t="s">
        <v>3</v>
      </c>
      <c r="C589" s="1" t="s">
        <v>3</v>
      </c>
      <c r="D589" s="1" t="s">
        <v>3</v>
      </c>
      <c r="E589" s="1" t="s">
        <v>3</v>
      </c>
      <c r="F589" s="1" t="s">
        <v>3</v>
      </c>
      <c r="G589" s="1" t="s">
        <v>3</v>
      </c>
      <c r="H589" s="1" t="s">
        <v>3</v>
      </c>
      <c r="I589" s="1" t="s">
        <v>3</v>
      </c>
      <c r="J589" s="1" t="s">
        <v>3</v>
      </c>
      <c r="K589" s="1" t="s">
        <v>3</v>
      </c>
      <c r="L589" s="1" t="s">
        <v>3</v>
      </c>
      <c r="M589" s="1" t="s">
        <v>3</v>
      </c>
      <c r="N589" s="1" t="s">
        <v>3</v>
      </c>
      <c r="O589" s="1" t="s">
        <v>3</v>
      </c>
      <c r="P589" s="1" t="s">
        <v>3</v>
      </c>
      <c r="Q589" s="1" t="s">
        <v>3</v>
      </c>
      <c r="R589" s="1" t="s">
        <v>3</v>
      </c>
      <c r="S589" s="1" t="s">
        <v>3</v>
      </c>
      <c r="T589" s="1" t="s">
        <v>3</v>
      </c>
      <c r="U589" t="e">
        <f t="shared" si="63"/>
        <v>#VALUE!</v>
      </c>
      <c r="V589" t="e">
        <f t="shared" si="64"/>
        <v>#VALUE!</v>
      </c>
      <c r="W589" t="e">
        <f t="shared" si="65"/>
        <v>#VALUE!</v>
      </c>
      <c r="X589" t="e">
        <f t="shared" si="66"/>
        <v>#VALUE!</v>
      </c>
      <c r="Y589" t="e">
        <f t="shared" si="67"/>
        <v>#VALUE!</v>
      </c>
      <c r="Z589" t="e">
        <f t="shared" si="68"/>
        <v>#VALUE!</v>
      </c>
      <c r="AA589" t="e">
        <f t="shared" si="69"/>
        <v>#VALUE!</v>
      </c>
    </row>
    <row r="590" spans="1:27" x14ac:dyDescent="0.35">
      <c r="A590" s="1" t="s">
        <v>3</v>
      </c>
      <c r="B590" s="1" t="s">
        <v>3</v>
      </c>
      <c r="C590" s="1" t="s">
        <v>3</v>
      </c>
      <c r="D590" s="1" t="s">
        <v>3</v>
      </c>
      <c r="E590" s="1">
        <v>80.001419999999996</v>
      </c>
      <c r="F590" s="1">
        <v>2.7867000000000002</v>
      </c>
      <c r="G590" s="1">
        <v>0.29981999999999998</v>
      </c>
      <c r="H590" s="1" t="s">
        <v>3</v>
      </c>
      <c r="I590" s="1">
        <v>-0.46061000000000002</v>
      </c>
      <c r="J590" s="1">
        <v>16239790.289380001</v>
      </c>
      <c r="K590" s="1">
        <v>-71631991.849209994</v>
      </c>
      <c r="L590">
        <v>155516861.94600001</v>
      </c>
      <c r="M590" s="1">
        <v>12737939.54623</v>
      </c>
      <c r="N590" s="1">
        <v>172316359.22088999</v>
      </c>
      <c r="O590" s="1">
        <v>8421227.7359500006</v>
      </c>
      <c r="P590" s="1">
        <v>124415690.26999</v>
      </c>
      <c r="Q590" s="1">
        <v>30673764.645950001</v>
      </c>
      <c r="R590" s="1">
        <v>102305756.49516</v>
      </c>
      <c r="S590" s="1">
        <v>24910435.8314</v>
      </c>
      <c r="T590" s="1">
        <v>-1.9439999999999999E-2</v>
      </c>
      <c r="U590">
        <f t="shared" si="63"/>
        <v>0.54270852240719325</v>
      </c>
      <c r="V590">
        <f t="shared" si="64"/>
        <v>1.7605257334395712E-2</v>
      </c>
      <c r="W590">
        <f t="shared" si="65"/>
        <v>-0.15688628166176294</v>
      </c>
      <c r="X590">
        <f t="shared" si="66"/>
        <v>1</v>
      </c>
      <c r="Y590">
        <f t="shared" si="67"/>
        <v>1</v>
      </c>
      <c r="Z590">
        <f t="shared" si="68"/>
        <v>1</v>
      </c>
      <c r="AA590">
        <f t="shared" si="69"/>
        <v>1</v>
      </c>
    </row>
    <row r="591" spans="1:27" x14ac:dyDescent="0.35">
      <c r="A591" s="1">
        <v>6.5015448899576098</v>
      </c>
      <c r="B591" s="1" t="s">
        <v>3</v>
      </c>
      <c r="C591" s="1">
        <v>0.119208413717764</v>
      </c>
      <c r="D591" s="1" t="s">
        <v>3</v>
      </c>
      <c r="E591" s="1">
        <v>74.430390000000003</v>
      </c>
      <c r="F591" s="1">
        <v>1.7700899999999999</v>
      </c>
      <c r="G591" s="1">
        <v>0.58789999999999998</v>
      </c>
      <c r="H591" s="1">
        <v>1.6086394284662699</v>
      </c>
      <c r="I591" s="1">
        <v>-0.20147999999999999</v>
      </c>
      <c r="J591" s="1">
        <v>13956738.64051</v>
      </c>
      <c r="K591" s="1">
        <v>-50606832.851099998</v>
      </c>
      <c r="L591" s="1">
        <v>251170598.70910001</v>
      </c>
      <c r="M591" s="1">
        <v>20216377.903560001</v>
      </c>
      <c r="N591" s="1">
        <v>327106742.13630998</v>
      </c>
      <c r="O591" s="1">
        <v>13220483.908159999</v>
      </c>
      <c r="P591" s="1">
        <v>186947251.27976999</v>
      </c>
      <c r="Q591" s="1">
        <v>72196305.363900006</v>
      </c>
      <c r="R591" s="1">
        <v>122803138.215</v>
      </c>
      <c r="S591" s="1">
        <v>24240283.531800002</v>
      </c>
      <c r="T591" s="1">
        <v>9.6900000000000007E-3</v>
      </c>
      <c r="U591">
        <f t="shared" si="63"/>
        <v>0.71833854795747498</v>
      </c>
      <c r="V591">
        <f t="shared" si="64"/>
        <v>-0.29197591021080227</v>
      </c>
      <c r="W591">
        <f t="shared" si="65"/>
        <v>5.3911177806938437E-2</v>
      </c>
      <c r="X591">
        <f t="shared" si="66"/>
        <v>1</v>
      </c>
      <c r="Y591">
        <f t="shared" si="67"/>
        <v>0</v>
      </c>
      <c r="Z591">
        <f t="shared" si="68"/>
        <v>0</v>
      </c>
      <c r="AA591">
        <f t="shared" si="69"/>
        <v>0</v>
      </c>
    </row>
    <row r="592" spans="1:27" x14ac:dyDescent="0.35">
      <c r="A592" s="1">
        <v>10.0838636226243</v>
      </c>
      <c r="B592" s="1">
        <v>388.69185332609999</v>
      </c>
      <c r="C592" s="1">
        <v>0.16241296833989</v>
      </c>
      <c r="D592" s="1">
        <v>673.69956999999999</v>
      </c>
      <c r="E592" s="1">
        <v>51.34507</v>
      </c>
      <c r="F592" s="1">
        <v>3.4212199999999999</v>
      </c>
      <c r="G592" s="1">
        <v>0.66483999999999999</v>
      </c>
      <c r="H592" s="1">
        <v>1.36079380793441</v>
      </c>
      <c r="I592" s="1">
        <v>-0.16914999999999999</v>
      </c>
      <c r="J592" s="1">
        <v>45069747.165739998</v>
      </c>
      <c r="K592" s="1">
        <v>-51118849.840259999</v>
      </c>
      <c r="L592" s="1">
        <v>302208200.21298999</v>
      </c>
      <c r="M592" s="1">
        <v>40258810.303319998</v>
      </c>
      <c r="N592" s="1">
        <v>376517221.50768</v>
      </c>
      <c r="O592" s="1">
        <v>27900981.69991</v>
      </c>
      <c r="P592" s="1">
        <v>155169009.58465999</v>
      </c>
      <c r="Q592" s="1">
        <v>101401384.45153999</v>
      </c>
      <c r="R592" s="1">
        <v>152520234.29179999</v>
      </c>
      <c r="S592" s="1">
        <v>44937946.674649999</v>
      </c>
      <c r="T592" s="1">
        <v>8.3510000000000001E-2</v>
      </c>
      <c r="U592">
        <f t="shared" si="63"/>
        <v>0.95484564802000371</v>
      </c>
      <c r="V592">
        <f t="shared" si="64"/>
        <v>-1.7861283859457713</v>
      </c>
      <c r="W592">
        <f t="shared" si="65"/>
        <v>0.28554801392748347</v>
      </c>
      <c r="X592">
        <f t="shared" si="66"/>
        <v>0</v>
      </c>
      <c r="Y592">
        <f t="shared" si="67"/>
        <v>0</v>
      </c>
      <c r="Z592">
        <f t="shared" si="68"/>
        <v>0</v>
      </c>
      <c r="AA592">
        <f t="shared" si="69"/>
        <v>0</v>
      </c>
    </row>
    <row r="593" spans="1:27" x14ac:dyDescent="0.35">
      <c r="A593" s="1">
        <v>0.86442441188383001</v>
      </c>
      <c r="B593" s="1">
        <v>2.0819786088946302</v>
      </c>
      <c r="C593" s="1">
        <v>4.5167562075887999E-2</v>
      </c>
      <c r="D593" s="1">
        <v>129.0558</v>
      </c>
      <c r="E593" s="1">
        <v>38.500399999999999</v>
      </c>
      <c r="F593" s="1">
        <v>1.3471</v>
      </c>
      <c r="G593" s="1">
        <v>0.58309</v>
      </c>
      <c r="H593" s="1">
        <v>1.09508384093344</v>
      </c>
      <c r="I593" s="1">
        <v>-0.29025000000000001</v>
      </c>
      <c r="J593" s="1">
        <v>-21692317.76038</v>
      </c>
      <c r="K593" s="1">
        <v>-180496129.03226</v>
      </c>
      <c r="L593" s="1">
        <v>621861290.32257998</v>
      </c>
      <c r="M593" s="1">
        <v>10250496.543</v>
      </c>
      <c r="N593" s="1">
        <v>505966783.49255002</v>
      </c>
      <c r="O593" s="1">
        <v>3993941.1294800001</v>
      </c>
      <c r="P593" s="1">
        <v>239419078.34101</v>
      </c>
      <c r="Q593" s="1">
        <v>252439447.00461</v>
      </c>
      <c r="R593" s="1">
        <v>432935576.03687</v>
      </c>
      <c r="S593" s="1">
        <v>20868983.0381</v>
      </c>
      <c r="T593" s="1">
        <v>2.094E-2</v>
      </c>
      <c r="U593">
        <f t="shared" si="63"/>
        <v>0.14514664503904801</v>
      </c>
      <c r="V593">
        <f t="shared" si="64"/>
        <v>-2.1320464204220162</v>
      </c>
      <c r="W593">
        <f t="shared" si="65"/>
        <v>-0.30757759167781529</v>
      </c>
      <c r="X593">
        <f t="shared" si="66"/>
        <v>1</v>
      </c>
      <c r="Y593">
        <f t="shared" si="67"/>
        <v>0</v>
      </c>
      <c r="Z593">
        <f t="shared" si="68"/>
        <v>1</v>
      </c>
      <c r="AA593">
        <f t="shared" si="69"/>
        <v>1</v>
      </c>
    </row>
    <row r="594" spans="1:27" x14ac:dyDescent="0.35">
      <c r="A594" s="1">
        <v>2.1851008724931398</v>
      </c>
      <c r="B594" s="1">
        <v>5.9760090468362899</v>
      </c>
      <c r="C594" s="1">
        <v>5.1063373282914999E-2</v>
      </c>
      <c r="D594" s="1">
        <v>92.989069999999998</v>
      </c>
      <c r="E594" s="1">
        <v>32.245440000000002</v>
      </c>
      <c r="F594" s="1">
        <v>2.9680200000000001</v>
      </c>
      <c r="G594" s="1">
        <v>0.87614000000000003</v>
      </c>
      <c r="H594" s="1">
        <v>1.08455789122423</v>
      </c>
      <c r="I594" s="1">
        <v>-4.6420000000000003E-2</v>
      </c>
      <c r="J594" s="1">
        <v>-33548214.028480001</v>
      </c>
      <c r="K594" s="1">
        <v>-35158811.040339999</v>
      </c>
      <c r="L594" s="1">
        <v>757384925.69001997</v>
      </c>
      <c r="M594" s="1">
        <v>18459573.145920001</v>
      </c>
      <c r="N594" s="1">
        <v>747936183.75881004</v>
      </c>
      <c r="O594" s="1">
        <v>15068960.54996</v>
      </c>
      <c r="P594" s="1">
        <v>244222080.67941001</v>
      </c>
      <c r="Q594" s="1">
        <v>248692144.37367001</v>
      </c>
      <c r="R594" s="1">
        <v>283850955.41400999</v>
      </c>
      <c r="S594" s="1">
        <v>35214482.188649997</v>
      </c>
      <c r="T594" s="1">
        <v>3.8899999999999997E-2</v>
      </c>
      <c r="U594">
        <f t="shared" si="63"/>
        <v>0.53285650028284248</v>
      </c>
      <c r="V594">
        <f t="shared" si="64"/>
        <v>-2.5480377120091915</v>
      </c>
      <c r="W594">
        <f t="shared" si="65"/>
        <v>0.13899154804385255</v>
      </c>
      <c r="X594">
        <f t="shared" si="66"/>
        <v>1</v>
      </c>
      <c r="Y594">
        <f t="shared" si="67"/>
        <v>0</v>
      </c>
      <c r="Z594">
        <f t="shared" si="68"/>
        <v>0</v>
      </c>
      <c r="AA594">
        <f t="shared" si="69"/>
        <v>0</v>
      </c>
    </row>
    <row r="595" spans="1:27" x14ac:dyDescent="0.35">
      <c r="A595" s="1">
        <v>10.1930177807543</v>
      </c>
      <c r="B595" s="1">
        <v>27.997842324072401</v>
      </c>
      <c r="C595" s="1">
        <v>0.170749716994717</v>
      </c>
      <c r="D595" s="1">
        <v>80.070459999999997</v>
      </c>
      <c r="E595" s="1">
        <v>29.05753</v>
      </c>
      <c r="F595" s="1">
        <v>10.02731</v>
      </c>
      <c r="G595" s="1">
        <v>1.0134300000000001</v>
      </c>
      <c r="H595" s="1">
        <v>1.14182312632066</v>
      </c>
      <c r="I595" s="1">
        <v>4.7299999999999998E-3</v>
      </c>
      <c r="J595" s="1">
        <v>62004395.729709998</v>
      </c>
      <c r="K595" s="1">
        <v>4393448.0844000001</v>
      </c>
      <c r="L595" s="1">
        <v>929714491.94892001</v>
      </c>
      <c r="M595" s="1">
        <v>118919861.35806</v>
      </c>
      <c r="N595" s="1">
        <v>963184565.73113</v>
      </c>
      <c r="O595" s="1">
        <v>85983171.809469998</v>
      </c>
      <c r="P595" s="1">
        <v>270152026.65186</v>
      </c>
      <c r="Q595" s="1">
        <v>331465963.35369003</v>
      </c>
      <c r="R595" s="1">
        <v>327072515.26928997</v>
      </c>
      <c r="S595" s="1">
        <v>144035874.0519</v>
      </c>
      <c r="T595" s="1">
        <v>0.12164</v>
      </c>
      <c r="U595">
        <f t="shared" si="63"/>
        <v>1.134855306661648</v>
      </c>
      <c r="V595">
        <f t="shared" si="64"/>
        <v>-3.055842679826744</v>
      </c>
      <c r="W595">
        <f t="shared" si="65"/>
        <v>0.59364112981073203</v>
      </c>
      <c r="X595">
        <f t="shared" si="66"/>
        <v>0</v>
      </c>
      <c r="Y595">
        <f t="shared" si="67"/>
        <v>0</v>
      </c>
      <c r="Z595">
        <f t="shared" si="68"/>
        <v>0</v>
      </c>
      <c r="AA595">
        <f t="shared" si="69"/>
        <v>0</v>
      </c>
    </row>
    <row r="596" spans="1:27" x14ac:dyDescent="0.35">
      <c r="A596" s="1">
        <v>16.885721989892801</v>
      </c>
      <c r="B596" s="1">
        <v>48.716128077946998</v>
      </c>
      <c r="C596" s="1">
        <v>0.21021862112689399</v>
      </c>
      <c r="D596" s="1">
        <v>55.014449999999997</v>
      </c>
      <c r="E596" s="1">
        <v>24.807110000000002</v>
      </c>
      <c r="F596" s="1">
        <v>20.222180000000002</v>
      </c>
      <c r="G596" s="1">
        <v>0.65991999999999995</v>
      </c>
      <c r="H596" s="1">
        <v>1.19499969181288</v>
      </c>
      <c r="I596" s="1">
        <v>-0.1318</v>
      </c>
      <c r="J596" s="1">
        <v>124102076</v>
      </c>
      <c r="K596" s="1">
        <v>-210387163</v>
      </c>
      <c r="L596" s="1">
        <v>1596247562</v>
      </c>
      <c r="M596" s="1">
        <v>291377743</v>
      </c>
      <c r="N596" s="1">
        <v>1509261938</v>
      </c>
      <c r="O596" s="1">
        <v>213263465</v>
      </c>
      <c r="P596" s="1">
        <v>395982966</v>
      </c>
      <c r="Q596" s="1">
        <v>408250639</v>
      </c>
      <c r="R596" s="1">
        <v>618637802</v>
      </c>
      <c r="S596" s="1">
        <v>265502130</v>
      </c>
      <c r="T596" s="1">
        <v>0.18381</v>
      </c>
      <c r="U596">
        <f t="shared" si="63"/>
        <v>1.0639364263001767</v>
      </c>
      <c r="V596">
        <f t="shared" si="64"/>
        <v>-3.4845682843971861</v>
      </c>
      <c r="W596">
        <f t="shared" si="65"/>
        <v>0.40784949248617874</v>
      </c>
      <c r="X596">
        <f t="shared" si="66"/>
        <v>0</v>
      </c>
      <c r="Y596">
        <f t="shared" si="67"/>
        <v>0</v>
      </c>
      <c r="Z596">
        <f t="shared" si="68"/>
        <v>0</v>
      </c>
      <c r="AA596">
        <f t="shared" si="69"/>
        <v>0</v>
      </c>
    </row>
    <row r="597" spans="1:27" x14ac:dyDescent="0.35">
      <c r="A597" s="1">
        <v>-0.84367027282405904</v>
      </c>
      <c r="B597" s="1">
        <v>-2.35471660663808</v>
      </c>
      <c r="C597" s="1">
        <v>1.7563279674158001E-2</v>
      </c>
      <c r="D597" s="1">
        <v>125.91723</v>
      </c>
      <c r="E597" s="1">
        <v>38.604509999999998</v>
      </c>
      <c r="F597" s="1">
        <v>1.38036</v>
      </c>
      <c r="G597" s="1">
        <v>1.1704300000000001</v>
      </c>
      <c r="H597" s="1">
        <v>0.87314852977878599</v>
      </c>
      <c r="I597" s="1">
        <v>4.0739999999999998E-2</v>
      </c>
      <c r="J597" s="1">
        <v>-37813703</v>
      </c>
      <c r="K597" s="1">
        <v>67742761</v>
      </c>
      <c r="L597" s="1">
        <v>1662946567</v>
      </c>
      <c r="M597" s="1">
        <v>-12667202</v>
      </c>
      <c r="N597" s="1">
        <v>1422880281</v>
      </c>
      <c r="O597" s="1">
        <v>-13748426</v>
      </c>
      <c r="P597" s="1">
        <v>641972339</v>
      </c>
      <c r="Q597" s="1">
        <v>465215610</v>
      </c>
      <c r="R597" s="1">
        <v>397472849</v>
      </c>
      <c r="S597" s="1">
        <v>28621069</v>
      </c>
      <c r="T597" s="1">
        <v>5.0430000000000003E-2</v>
      </c>
      <c r="U597">
        <f t="shared" si="63"/>
        <v>0.41601805655779139</v>
      </c>
      <c r="V597">
        <f t="shared" si="64"/>
        <v>-2.0576575231048779</v>
      </c>
      <c r="W597">
        <f t="shared" si="65"/>
        <v>0.18266952171350193</v>
      </c>
      <c r="X597">
        <f t="shared" si="66"/>
        <v>1</v>
      </c>
      <c r="Y597">
        <f t="shared" si="67"/>
        <v>0</v>
      </c>
      <c r="Z597">
        <f t="shared" si="68"/>
        <v>0</v>
      </c>
      <c r="AA597">
        <f t="shared" si="69"/>
        <v>0</v>
      </c>
    </row>
    <row r="598" spans="1:27" x14ac:dyDescent="0.35">
      <c r="A598" s="1">
        <v>-3.4192291825563799</v>
      </c>
      <c r="B598" s="1">
        <v>-11.8458736683961</v>
      </c>
      <c r="C598" s="1">
        <v>3.0987511045099999E-2</v>
      </c>
      <c r="D598" s="1">
        <v>150.64421999999999</v>
      </c>
      <c r="E598" s="1">
        <v>43.251510000000003</v>
      </c>
      <c r="F598" s="1">
        <v>1.5514699999999999</v>
      </c>
      <c r="G598" s="1">
        <v>1.0989500000000001</v>
      </c>
      <c r="H598" s="1">
        <v>0.71056466167126497</v>
      </c>
      <c r="I598" s="1">
        <v>2.725E-2</v>
      </c>
      <c r="J598" s="1">
        <v>48095960</v>
      </c>
      <c r="K598" s="1">
        <v>42690984</v>
      </c>
      <c r="L598" s="1">
        <v>1566788853</v>
      </c>
      <c r="M598" s="1">
        <v>-67651031</v>
      </c>
      <c r="N598" s="1">
        <v>1147467928</v>
      </c>
      <c r="O598" s="1">
        <v>-55216028</v>
      </c>
      <c r="P598" s="1">
        <v>677659787</v>
      </c>
      <c r="Q598" s="1">
        <v>474147531</v>
      </c>
      <c r="R598" s="1">
        <v>431456547</v>
      </c>
      <c r="S598" s="1">
        <v>50040731</v>
      </c>
      <c r="T598" s="1">
        <v>3.0349999999999999E-2</v>
      </c>
      <c r="U598">
        <f t="shared" si="63"/>
        <v>0.31557751514833249</v>
      </c>
      <c r="V598">
        <f t="shared" si="64"/>
        <v>-1.6716814677268994</v>
      </c>
      <c r="W598">
        <f t="shared" si="65"/>
        <v>0.21011272799564654</v>
      </c>
      <c r="X598">
        <f t="shared" si="66"/>
        <v>1</v>
      </c>
      <c r="Y598">
        <f t="shared" si="67"/>
        <v>0</v>
      </c>
      <c r="Z598">
        <f t="shared" si="68"/>
        <v>0</v>
      </c>
      <c r="AA598">
        <f t="shared" si="69"/>
        <v>0</v>
      </c>
    </row>
    <row r="599" spans="1:27" x14ac:dyDescent="0.35">
      <c r="A599" s="1">
        <v>-13.855304866385101</v>
      </c>
      <c r="B599" s="1">
        <v>-63.919402454655298</v>
      </c>
      <c r="C599" s="1">
        <v>-6.3593317578300003E-3</v>
      </c>
      <c r="D599" s="1">
        <v>224.58841000000001</v>
      </c>
      <c r="E599" s="1">
        <v>49.403199999999998</v>
      </c>
      <c r="F599" s="1">
        <v>-0.27805999999999997</v>
      </c>
      <c r="G599" s="1">
        <v>0.62305999999999995</v>
      </c>
      <c r="H599" s="1">
        <v>0.60712962240739798</v>
      </c>
      <c r="I599" s="1">
        <v>-0.16833999999999999</v>
      </c>
      <c r="J599" s="1">
        <v>68116904</v>
      </c>
      <c r="K599" s="1">
        <v>-195554406</v>
      </c>
      <c r="L599" s="1">
        <v>1161656314</v>
      </c>
      <c r="M599" s="1">
        <v>-200353337</v>
      </c>
      <c r="N599" s="1">
        <v>828259942</v>
      </c>
      <c r="O599" s="1">
        <v>-189017198</v>
      </c>
      <c r="P599" s="1">
        <v>573895351</v>
      </c>
      <c r="Q599" s="1">
        <v>323240003</v>
      </c>
      <c r="R599" s="1">
        <v>518794409</v>
      </c>
      <c r="S599" s="1">
        <v>-8675544</v>
      </c>
      <c r="T599" s="1">
        <v>-7.8189999999999996E-2</v>
      </c>
      <c r="U599">
        <f t="shared" si="63"/>
        <v>-0.16600469254314093</v>
      </c>
      <c r="V599">
        <f t="shared" si="64"/>
        <v>-0.74931468287912184</v>
      </c>
      <c r="W599">
        <f t="shared" si="65"/>
        <v>-0.2487880309029164</v>
      </c>
      <c r="X599">
        <f t="shared" si="66"/>
        <v>1</v>
      </c>
      <c r="Y599">
        <f t="shared" si="67"/>
        <v>0</v>
      </c>
      <c r="Z599">
        <f t="shared" si="68"/>
        <v>1</v>
      </c>
      <c r="AA599">
        <f t="shared" si="69"/>
        <v>1</v>
      </c>
    </row>
    <row r="600" spans="1:27" x14ac:dyDescent="0.35">
      <c r="A600" s="1">
        <v>-7.7921162828296504</v>
      </c>
      <c r="B600" s="1">
        <v>-56.179024485347099</v>
      </c>
      <c r="C600" s="1">
        <v>2.5521597882977001E-2</v>
      </c>
      <c r="D600" s="1">
        <v>312.98818</v>
      </c>
      <c r="E600" s="1">
        <v>57.45476</v>
      </c>
      <c r="F600" s="1">
        <v>0.96518000000000004</v>
      </c>
      <c r="G600" s="1">
        <v>1.8853899999999999</v>
      </c>
      <c r="H600" s="1">
        <v>0.44296798459226899</v>
      </c>
      <c r="I600" s="1">
        <v>0.14097999999999999</v>
      </c>
      <c r="J600" s="1">
        <v>54754995</v>
      </c>
      <c r="K600" s="1">
        <v>132221775</v>
      </c>
      <c r="L600">
        <v>937851728</v>
      </c>
      <c r="M600">
        <v>-68182304</v>
      </c>
      <c r="N600">
        <v>465007423</v>
      </c>
      <c r="O600">
        <v>-81798054</v>
      </c>
      <c r="P600">
        <v>538840492</v>
      </c>
      <c r="Q600">
        <v>281558806</v>
      </c>
      <c r="R600">
        <v>149337031</v>
      </c>
      <c r="S600">
        <v>26791400</v>
      </c>
      <c r="T600">
        <v>-0.16585</v>
      </c>
      <c r="U600">
        <f t="shared" si="63"/>
        <v>0.12990796514694258</v>
      </c>
      <c r="V600">
        <f t="shared" si="64"/>
        <v>-0.62505350671238524</v>
      </c>
      <c r="W600">
        <f t="shared" si="65"/>
        <v>0.3854688573778477</v>
      </c>
      <c r="X600">
        <f t="shared" si="66"/>
        <v>1</v>
      </c>
      <c r="Y600">
        <f t="shared" si="67"/>
        <v>0</v>
      </c>
      <c r="Z600">
        <f t="shared" si="68"/>
        <v>0</v>
      </c>
      <c r="AA600">
        <f t="shared" si="69"/>
        <v>0</v>
      </c>
    </row>
    <row r="601" spans="1:27" x14ac:dyDescent="0.35">
      <c r="A601" s="1">
        <v>2.04425992788972</v>
      </c>
      <c r="B601" s="1">
        <v>29.586504155180599</v>
      </c>
      <c r="C601" s="1">
        <v>0.13531556843724399</v>
      </c>
      <c r="D601" s="1">
        <v>255.8758</v>
      </c>
      <c r="E601" s="1">
        <v>58.377659999999999</v>
      </c>
      <c r="F601" s="1">
        <v>2.77115</v>
      </c>
      <c r="G601" s="1">
        <v>2.5461</v>
      </c>
      <c r="H601" s="1">
        <v>0.630322635202472</v>
      </c>
      <c r="I601" s="1">
        <v>0.16495000000000001</v>
      </c>
      <c r="J601" s="1">
        <v>100229373</v>
      </c>
      <c r="K601" s="1">
        <v>136028272</v>
      </c>
      <c r="L601">
        <v>824686661</v>
      </c>
      <c r="M601">
        <v>29502709</v>
      </c>
      <c r="N601">
        <v>555483921</v>
      </c>
      <c r="O601" s="1">
        <v>18015433</v>
      </c>
      <c r="P601">
        <v>481432815</v>
      </c>
      <c r="Q601">
        <v>224009923</v>
      </c>
      <c r="R601">
        <v>87981651</v>
      </c>
      <c r="S601">
        <v>119249442</v>
      </c>
      <c r="T601">
        <v>-0.15384</v>
      </c>
      <c r="U601">
        <f t="shared" si="63"/>
        <v>1.1045591673890576</v>
      </c>
      <c r="V601">
        <f t="shared" si="64"/>
        <v>-1.0605920451726678</v>
      </c>
      <c r="W601">
        <f t="shared" si="65"/>
        <v>0.82172680609538795</v>
      </c>
      <c r="X601">
        <f t="shared" si="66"/>
        <v>0</v>
      </c>
      <c r="Y601">
        <f t="shared" si="67"/>
        <v>0</v>
      </c>
      <c r="Z601">
        <f t="shared" si="68"/>
        <v>0</v>
      </c>
      <c r="AA601">
        <f t="shared" si="69"/>
        <v>0</v>
      </c>
    </row>
    <row r="602" spans="1:27" x14ac:dyDescent="0.35">
      <c r="A602" s="1">
        <v>39.453427284057199</v>
      </c>
      <c r="B602" s="1">
        <v>117.237337500465</v>
      </c>
      <c r="C602" s="1">
        <v>0.52230979978969905</v>
      </c>
      <c r="D602" s="1">
        <v>19.245000000000001</v>
      </c>
      <c r="E602" s="1">
        <v>11.164099999999999</v>
      </c>
      <c r="F602" s="1">
        <v>17.25956</v>
      </c>
      <c r="G602" s="1">
        <v>1.0241499999999999</v>
      </c>
      <c r="H602" s="1">
        <v>1.2458431992546199</v>
      </c>
      <c r="I602" s="1">
        <v>8.2199999999999999E-3</v>
      </c>
      <c r="J602" s="1">
        <v>433086278</v>
      </c>
      <c r="K602" s="1">
        <v>7307869</v>
      </c>
      <c r="L602" s="1">
        <v>888813140</v>
      </c>
      <c r="M602" s="1">
        <v>420082773</v>
      </c>
      <c r="N602" s="1">
        <v>1067376037</v>
      </c>
      <c r="O602" s="1">
        <v>338017199</v>
      </c>
      <c r="P602" s="1">
        <v>99227979</v>
      </c>
      <c r="Q602" s="1">
        <v>309947294</v>
      </c>
      <c r="R602" s="1">
        <v>302639425</v>
      </c>
      <c r="S602" s="1">
        <v>447488869</v>
      </c>
      <c r="T602" s="1">
        <v>0.21640999999999999</v>
      </c>
      <c r="U602">
        <f t="shared" si="63"/>
        <v>2.9505972471079458</v>
      </c>
      <c r="V602">
        <f t="shared" si="64"/>
        <v>-5.3709076753158351</v>
      </c>
      <c r="W602">
        <f t="shared" si="65"/>
        <v>1.7904558860257174</v>
      </c>
      <c r="X602">
        <f t="shared" si="66"/>
        <v>0</v>
      </c>
      <c r="Y602">
        <f t="shared" si="67"/>
        <v>0</v>
      </c>
      <c r="Z602">
        <f t="shared" si="68"/>
        <v>0</v>
      </c>
      <c r="AA602">
        <f t="shared" si="69"/>
        <v>0</v>
      </c>
    </row>
    <row r="603" spans="1:27" x14ac:dyDescent="0.35">
      <c r="A603" s="1">
        <v>51.411009197171303</v>
      </c>
      <c r="B603" s="1">
        <v>92.446093847519194</v>
      </c>
      <c r="C603" s="1">
        <v>0.68130266649063398</v>
      </c>
      <c r="D603" s="1">
        <v>19.03875</v>
      </c>
      <c r="E603" s="1">
        <v>11.21733</v>
      </c>
      <c r="F603" s="1">
        <v>200.22542999999999</v>
      </c>
      <c r="G603" s="1">
        <v>1.2372399999999999</v>
      </c>
      <c r="H603" s="1">
        <v>1.6441007733248301</v>
      </c>
      <c r="I603" s="1">
        <v>8.1879999999999994E-2</v>
      </c>
      <c r="J603" s="1">
        <v>575227797</v>
      </c>
      <c r="K603" s="1">
        <v>94237604</v>
      </c>
      <c r="L603" s="1">
        <v>1150863891</v>
      </c>
      <c r="M603" s="1">
        <v>696732272</v>
      </c>
      <c r="N603" s="1">
        <v>1676717292</v>
      </c>
      <c r="O603" s="1">
        <v>524309273</v>
      </c>
      <c r="P603" s="1">
        <v>129096147</v>
      </c>
      <c r="Q603" s="1">
        <v>491460666</v>
      </c>
      <c r="R603" s="1">
        <v>397223062</v>
      </c>
      <c r="S603" s="1">
        <v>694818700</v>
      </c>
      <c r="T603" s="1">
        <v>0.47238000000000002</v>
      </c>
      <c r="U603">
        <f t="shared" si="63"/>
        <v>3.6782254991585757</v>
      </c>
      <c r="V603">
        <f t="shared" si="64"/>
        <v>-5.7057684137967852</v>
      </c>
      <c r="W603">
        <f t="shared" si="65"/>
        <v>2.2545177686481082</v>
      </c>
      <c r="X603">
        <f t="shared" si="66"/>
        <v>0</v>
      </c>
      <c r="Y603">
        <f t="shared" si="67"/>
        <v>0</v>
      </c>
      <c r="Z603">
        <f t="shared" si="68"/>
        <v>0</v>
      </c>
      <c r="AA603">
        <f t="shared" si="69"/>
        <v>0</v>
      </c>
    </row>
    <row r="604" spans="1:27" x14ac:dyDescent="0.35">
      <c r="A604" s="1">
        <v>19.285346448441398</v>
      </c>
      <c r="B604" s="1">
        <v>35.892818656320898</v>
      </c>
      <c r="C604" s="1">
        <v>0.26064590381133101</v>
      </c>
      <c r="D604" s="1">
        <v>58.734169999999999</v>
      </c>
      <c r="E604" s="1">
        <v>28.45072</v>
      </c>
      <c r="F604" s="1">
        <v>37.174500000000002</v>
      </c>
      <c r="G604" s="1">
        <v>0.89437</v>
      </c>
      <c r="H604" s="1">
        <v>1.14585823563137</v>
      </c>
      <c r="I604" s="1">
        <v>-4.8009999999999997E-2</v>
      </c>
      <c r="J604" s="1">
        <v>54455555</v>
      </c>
      <c r="K604" s="1">
        <v>-61361867</v>
      </c>
      <c r="L604">
        <v>1278040123</v>
      </c>
      <c r="M604">
        <v>311625370</v>
      </c>
      <c r="N604">
        <v>1391589834</v>
      </c>
      <c r="O604" s="1">
        <v>234211277</v>
      </c>
      <c r="P604">
        <v>363611574</v>
      </c>
      <c r="Q604">
        <v>519575216</v>
      </c>
      <c r="R604">
        <v>580937083</v>
      </c>
      <c r="S604">
        <v>316541941</v>
      </c>
      <c r="T604">
        <v>0.36552000000000001</v>
      </c>
      <c r="U604">
        <f t="shared" si="63"/>
        <v>1.5004923356582653</v>
      </c>
      <c r="V604">
        <f t="shared" si="64"/>
        <v>-3.4993933586159103</v>
      </c>
      <c r="W604">
        <f t="shared" si="65"/>
        <v>0.8238061819104564</v>
      </c>
      <c r="X604">
        <f t="shared" si="66"/>
        <v>0</v>
      </c>
      <c r="Y604">
        <f t="shared" si="67"/>
        <v>0</v>
      </c>
      <c r="Z604">
        <f t="shared" si="68"/>
        <v>0</v>
      </c>
      <c r="AA604">
        <f t="shared" si="69"/>
        <v>0</v>
      </c>
    </row>
    <row r="605" spans="1:27" x14ac:dyDescent="0.35">
      <c r="A605" s="1">
        <v>23.774174425029202</v>
      </c>
      <c r="B605" s="1">
        <v>46.072497850711798</v>
      </c>
      <c r="C605" s="1">
        <v>0.19675432116497499</v>
      </c>
      <c r="D605" s="1">
        <v>46.42783</v>
      </c>
      <c r="E605" s="1">
        <v>24.695589999999999</v>
      </c>
      <c r="F605" s="1">
        <v>9.2255500000000001</v>
      </c>
      <c r="G605" s="1">
        <v>3.2500599999999999</v>
      </c>
      <c r="H605" s="1">
        <v>0.96288912192019604</v>
      </c>
      <c r="I605" s="1">
        <v>0.32880999999999999</v>
      </c>
      <c r="J605" s="1">
        <v>365935647</v>
      </c>
      <c r="K605" s="1">
        <v>532579544</v>
      </c>
      <c r="L605">
        <v>1619725022</v>
      </c>
      <c r="M605">
        <v>426635647</v>
      </c>
      <c r="N605">
        <v>1395113268</v>
      </c>
      <c r="O605" s="1">
        <v>344459870</v>
      </c>
      <c r="P605">
        <v>400000681</v>
      </c>
      <c r="Q605">
        <v>769275004</v>
      </c>
      <c r="R605">
        <v>236695460</v>
      </c>
      <c r="S605">
        <v>285073907</v>
      </c>
      <c r="T605">
        <v>0.44979000000000002</v>
      </c>
      <c r="U605">
        <f t="shared" si="63"/>
        <v>2.4131560498212608</v>
      </c>
      <c r="V605">
        <f t="shared" si="64"/>
        <v>-3.8363464256133257</v>
      </c>
      <c r="W605">
        <f t="shared" si="65"/>
        <v>1.2020457082263931</v>
      </c>
      <c r="X605">
        <f t="shared" si="66"/>
        <v>0</v>
      </c>
      <c r="Y605">
        <f t="shared" si="67"/>
        <v>0</v>
      </c>
      <c r="Z605">
        <f t="shared" si="68"/>
        <v>0</v>
      </c>
      <c r="AA605">
        <f t="shared" si="69"/>
        <v>0</v>
      </c>
    </row>
    <row r="606" spans="1:27" x14ac:dyDescent="0.35">
      <c r="A606" s="1">
        <v>62.463399602681797</v>
      </c>
      <c r="B606" s="1">
        <v>92.168590878760099</v>
      </c>
      <c r="C606" s="1">
        <v>0.82807541442482901</v>
      </c>
      <c r="D606" s="1">
        <v>0</v>
      </c>
      <c r="E606" s="1">
        <v>0</v>
      </c>
      <c r="F606" s="1">
        <v>102.99257</v>
      </c>
      <c r="G606" s="1">
        <v>3.1313200000000001</v>
      </c>
      <c r="H606" s="1">
        <v>1.40730929239633</v>
      </c>
      <c r="I606" s="1">
        <v>0.3967</v>
      </c>
      <c r="J606" s="1">
        <v>1514201568</v>
      </c>
      <c r="K606" s="1">
        <v>965450989</v>
      </c>
      <c r="L606">
        <v>2433712191</v>
      </c>
      <c r="M606">
        <v>1627573741</v>
      </c>
      <c r="N606">
        <v>2852219928</v>
      </c>
      <c r="O606" s="1">
        <v>1265957342</v>
      </c>
      <c r="P606">
        <v>0</v>
      </c>
      <c r="Q606">
        <v>1418432789</v>
      </c>
      <c r="R606">
        <v>452981800</v>
      </c>
      <c r="S606">
        <v>1678275850</v>
      </c>
      <c r="T606">
        <v>0.67466000000000004</v>
      </c>
      <c r="U606">
        <f t="shared" si="63"/>
        <v>5.3658364971740937</v>
      </c>
      <c r="V606">
        <f t="shared" si="64"/>
        <v>-6.6282642435004346</v>
      </c>
      <c r="W606">
        <f t="shared" si="65"/>
        <v>3.0672575274982461</v>
      </c>
      <c r="X606">
        <f t="shared" si="66"/>
        <v>0</v>
      </c>
      <c r="Y606">
        <f t="shared" si="67"/>
        <v>0</v>
      </c>
      <c r="Z606">
        <f t="shared" si="68"/>
        <v>0</v>
      </c>
      <c r="AA606">
        <f t="shared" si="69"/>
        <v>0</v>
      </c>
    </row>
    <row r="607" spans="1:27" x14ac:dyDescent="0.35">
      <c r="A607" s="1">
        <v>72.160019751632106</v>
      </c>
      <c r="B607" s="1">
        <v>117.92347811214201</v>
      </c>
      <c r="C607" s="1">
        <v>0.92242586385349301</v>
      </c>
      <c r="D607" s="1">
        <v>0</v>
      </c>
      <c r="E607" s="1">
        <v>0</v>
      </c>
      <c r="F607" s="1">
        <v>9433.3741200000004</v>
      </c>
      <c r="G607" s="1">
        <v>1.3106199999999999</v>
      </c>
      <c r="H607" s="1">
        <v>1.4746812702493599</v>
      </c>
      <c r="I607" s="1">
        <v>0.14419000000000001</v>
      </c>
      <c r="J607" s="1">
        <v>2144423580</v>
      </c>
      <c r="K607" s="1">
        <v>568902612</v>
      </c>
      <c r="L607">
        <v>3945458865</v>
      </c>
      <c r="M607">
        <v>2945310061</v>
      </c>
      <c r="N607">
        <v>4703622038</v>
      </c>
      <c r="O607" s="1">
        <v>2301605547</v>
      </c>
      <c r="P607">
        <v>0</v>
      </c>
      <c r="Q607">
        <v>2400423237</v>
      </c>
      <c r="R607">
        <v>1831520625</v>
      </c>
      <c r="S607">
        <v>2942156186</v>
      </c>
      <c r="T607">
        <v>0.46132000000000001</v>
      </c>
      <c r="U607">
        <f t="shared" si="63"/>
        <v>3.9760633346333707</v>
      </c>
      <c r="V607">
        <f t="shared" si="64"/>
        <v>-6.9198577562848476</v>
      </c>
      <c r="W607">
        <f t="shared" si="65"/>
        <v>2.8426366095191815</v>
      </c>
      <c r="X607">
        <f t="shared" si="66"/>
        <v>0</v>
      </c>
      <c r="Y607">
        <f t="shared" si="67"/>
        <v>0</v>
      </c>
      <c r="Z607">
        <f t="shared" si="68"/>
        <v>0</v>
      </c>
      <c r="AA607">
        <f t="shared" si="69"/>
        <v>0</v>
      </c>
    </row>
    <row r="608" spans="1:27" x14ac:dyDescent="0.35">
      <c r="A608" s="1">
        <v>34.631100530519397</v>
      </c>
      <c r="B608" s="1">
        <v>65.604934712310794</v>
      </c>
      <c r="C608" s="1">
        <v>0.43497218776855501</v>
      </c>
      <c r="D608" s="1">
        <v>20.05613</v>
      </c>
      <c r="E608" s="1">
        <v>11.52257</v>
      </c>
      <c r="F608" s="1">
        <v>376.73543999999998</v>
      </c>
      <c r="G608" s="1">
        <v>1.4202900000000001</v>
      </c>
      <c r="H608" s="1">
        <v>0.96927812255274803</v>
      </c>
      <c r="I608" s="1">
        <v>0.16334000000000001</v>
      </c>
      <c r="J608" s="1">
        <v>756792225</v>
      </c>
      <c r="K608" s="1">
        <v>562595949</v>
      </c>
      <c r="L608">
        <v>3444319816</v>
      </c>
      <c r="M608">
        <v>1632968496</v>
      </c>
      <c r="N608">
        <v>3581375403</v>
      </c>
      <c r="O608" s="1">
        <v>1279580842</v>
      </c>
      <c r="P608">
        <v>396874323</v>
      </c>
      <c r="Q608">
        <v>1901194115</v>
      </c>
      <c r="R608">
        <v>1338598166</v>
      </c>
      <c r="S608">
        <v>1607174100</v>
      </c>
      <c r="T608">
        <v>0.51049999999999995</v>
      </c>
      <c r="U608">
        <f t="shared" si="63"/>
        <v>2.8218078958880568</v>
      </c>
      <c r="V608">
        <f t="shared" si="64"/>
        <v>-5.3093030372913503</v>
      </c>
      <c r="W608">
        <f t="shared" si="65"/>
        <v>1.9208156700492645</v>
      </c>
      <c r="X608">
        <f t="shared" si="66"/>
        <v>0</v>
      </c>
      <c r="Y608">
        <f t="shared" si="67"/>
        <v>0</v>
      </c>
      <c r="Z608">
        <f t="shared" si="68"/>
        <v>0</v>
      </c>
      <c r="AA608">
        <f t="shared" si="69"/>
        <v>0</v>
      </c>
    </row>
    <row r="609" spans="1:27" x14ac:dyDescent="0.35">
      <c r="A609" s="1">
        <v>27.086001612957499</v>
      </c>
      <c r="B609" s="1">
        <v>45.167122040714503</v>
      </c>
      <c r="C609" s="1">
        <v>0.348197530763174</v>
      </c>
      <c r="D609" s="1">
        <v>14.58793</v>
      </c>
      <c r="E609" s="1">
        <v>9.5852900000000005</v>
      </c>
      <c r="F609" s="1">
        <v>80.782830000000004</v>
      </c>
      <c r="G609" s="1">
        <v>1.6404000000000001</v>
      </c>
      <c r="H609" s="1">
        <v>0.98947054217184605</v>
      </c>
      <c r="I609" s="1">
        <v>0.19572999999999999</v>
      </c>
      <c r="J609" s="1">
        <v>1087649110</v>
      </c>
      <c r="K609" s="1">
        <v>689264909</v>
      </c>
      <c r="L609">
        <v>3521455934</v>
      </c>
      <c r="M609">
        <v>1205522529</v>
      </c>
      <c r="N609">
        <v>3446214954</v>
      </c>
      <c r="O609" s="1">
        <v>943375066</v>
      </c>
      <c r="P609">
        <v>337541757</v>
      </c>
      <c r="Q609">
        <v>1765563829</v>
      </c>
      <c r="R609">
        <v>1076298920</v>
      </c>
      <c r="S609">
        <v>1212732958</v>
      </c>
      <c r="T609">
        <v>0.59099000000000002</v>
      </c>
      <c r="U609">
        <f t="shared" si="63"/>
        <v>2.3895586592168829</v>
      </c>
      <c r="V609">
        <f t="shared" si="64"/>
        <v>-4.9525975050086704</v>
      </c>
      <c r="W609">
        <f t="shared" si="65"/>
        <v>1.5565286577219455</v>
      </c>
      <c r="X609">
        <f t="shared" si="66"/>
        <v>0</v>
      </c>
      <c r="Y609">
        <f t="shared" si="67"/>
        <v>0</v>
      </c>
      <c r="Z609">
        <f t="shared" si="68"/>
        <v>0</v>
      </c>
      <c r="AA609">
        <f t="shared" si="69"/>
        <v>0</v>
      </c>
    </row>
    <row r="610" spans="1:27" x14ac:dyDescent="0.35">
      <c r="A610" s="1">
        <v>22.737653680151801</v>
      </c>
      <c r="B610" s="1">
        <v>32.158884717332398</v>
      </c>
      <c r="C610" s="1">
        <v>0.290690770408017</v>
      </c>
      <c r="D610" s="1">
        <v>0</v>
      </c>
      <c r="E610" s="1">
        <v>0</v>
      </c>
      <c r="F610" s="1">
        <v>236.05054999999999</v>
      </c>
      <c r="G610" s="1">
        <v>2.6618400000000002</v>
      </c>
      <c r="H610" s="1">
        <v>0.99400458120296797</v>
      </c>
      <c r="I610" s="1">
        <v>0.26800000000000002</v>
      </c>
      <c r="J610" s="1">
        <v>1005508652</v>
      </c>
      <c r="K610" s="1">
        <v>904496736</v>
      </c>
      <c r="L610" s="1">
        <v>3375044444</v>
      </c>
      <c r="M610" s="1">
        <v>1012019262</v>
      </c>
      <c r="N610" s="1">
        <v>3427576485</v>
      </c>
      <c r="O610" s="1">
        <v>784051186</v>
      </c>
      <c r="P610" s="1">
        <v>0</v>
      </c>
      <c r="Q610" s="1">
        <v>1448770247</v>
      </c>
      <c r="R610" s="1">
        <v>544273511</v>
      </c>
      <c r="S610" s="1">
        <v>1002374504</v>
      </c>
      <c r="T610" s="1">
        <v>0.72552000000000005</v>
      </c>
      <c r="U610">
        <f t="shared" si="63"/>
        <v>2.8212393266688744</v>
      </c>
      <c r="V610">
        <f t="shared" si="64"/>
        <v>-5.3347404459011072</v>
      </c>
      <c r="W610">
        <f t="shared" si="65"/>
        <v>1.5138837022971068</v>
      </c>
      <c r="X610">
        <f t="shared" si="66"/>
        <v>0</v>
      </c>
      <c r="Y610">
        <f t="shared" si="67"/>
        <v>0</v>
      </c>
      <c r="Z610">
        <f t="shared" si="68"/>
        <v>0</v>
      </c>
      <c r="AA610">
        <f t="shared" si="69"/>
        <v>0</v>
      </c>
    </row>
    <row r="611" spans="1:27" x14ac:dyDescent="0.35">
      <c r="A611" s="1" t="s">
        <v>3</v>
      </c>
      <c r="B611" s="1" t="s">
        <v>3</v>
      </c>
      <c r="C611" s="1" t="s">
        <v>3</v>
      </c>
      <c r="D611" s="1" t="s">
        <v>3</v>
      </c>
      <c r="E611" s="1" t="s">
        <v>3</v>
      </c>
      <c r="F611" s="1" t="s">
        <v>3</v>
      </c>
      <c r="G611" s="1" t="s">
        <v>3</v>
      </c>
      <c r="H611" s="1" t="s">
        <v>3</v>
      </c>
      <c r="I611" s="1" t="s">
        <v>3</v>
      </c>
      <c r="J611" s="1" t="s">
        <v>3</v>
      </c>
      <c r="K611" s="1" t="s">
        <v>3</v>
      </c>
      <c r="L611" s="1" t="s">
        <v>3</v>
      </c>
      <c r="M611" s="1" t="s">
        <v>3</v>
      </c>
      <c r="N611" s="1" t="s">
        <v>3</v>
      </c>
      <c r="O611" s="1" t="s">
        <v>3</v>
      </c>
      <c r="P611" s="1" t="s">
        <v>3</v>
      </c>
      <c r="Q611" s="1" t="s">
        <v>3</v>
      </c>
      <c r="R611" s="1" t="s">
        <v>3</v>
      </c>
      <c r="S611" s="1" t="s">
        <v>3</v>
      </c>
      <c r="T611" s="1" t="s">
        <v>3</v>
      </c>
      <c r="U611" t="e">
        <f t="shared" si="63"/>
        <v>#VALUE!</v>
      </c>
      <c r="V611" t="e">
        <f t="shared" si="64"/>
        <v>#VALUE!</v>
      </c>
      <c r="W611" t="e">
        <f t="shared" si="65"/>
        <v>#VALUE!</v>
      </c>
      <c r="X611" t="e">
        <f t="shared" si="66"/>
        <v>#VALUE!</v>
      </c>
      <c r="Y611" t="e">
        <f t="shared" si="67"/>
        <v>#VALUE!</v>
      </c>
      <c r="Z611" t="e">
        <f t="shared" si="68"/>
        <v>#VALUE!</v>
      </c>
      <c r="AA611" t="e">
        <f t="shared" si="69"/>
        <v>#VALUE!</v>
      </c>
    </row>
    <row r="612" spans="1:27" x14ac:dyDescent="0.35">
      <c r="A612" s="1" t="s">
        <v>3</v>
      </c>
      <c r="B612" s="1" t="s">
        <v>3</v>
      </c>
      <c r="C612" s="1" t="s">
        <v>3</v>
      </c>
      <c r="D612" s="1" t="s">
        <v>3</v>
      </c>
      <c r="E612" s="1" t="s">
        <v>3</v>
      </c>
      <c r="F612" s="1" t="s">
        <v>3</v>
      </c>
      <c r="G612" s="1" t="s">
        <v>3</v>
      </c>
      <c r="H612" s="1" t="s">
        <v>3</v>
      </c>
      <c r="I612" s="1" t="s">
        <v>3</v>
      </c>
      <c r="J612" s="1" t="s">
        <v>3</v>
      </c>
      <c r="K612" s="1" t="s">
        <v>3</v>
      </c>
      <c r="L612" s="1" t="s">
        <v>3</v>
      </c>
      <c r="M612" s="1" t="s">
        <v>3</v>
      </c>
      <c r="N612" s="1" t="s">
        <v>3</v>
      </c>
      <c r="O612" s="1" t="s">
        <v>3</v>
      </c>
      <c r="P612" s="1" t="s">
        <v>3</v>
      </c>
      <c r="Q612" s="1" t="s">
        <v>3</v>
      </c>
      <c r="R612" s="1" t="s">
        <v>3</v>
      </c>
      <c r="S612" s="1" t="s">
        <v>3</v>
      </c>
      <c r="T612" s="1" t="s">
        <v>3</v>
      </c>
      <c r="U612" t="e">
        <f t="shared" si="63"/>
        <v>#VALUE!</v>
      </c>
      <c r="V612" t="e">
        <f t="shared" si="64"/>
        <v>#VALUE!</v>
      </c>
      <c r="W612" t="e">
        <f t="shared" si="65"/>
        <v>#VALUE!</v>
      </c>
      <c r="X612" t="e">
        <f t="shared" si="66"/>
        <v>#VALUE!</v>
      </c>
      <c r="Y612" t="e">
        <f t="shared" si="67"/>
        <v>#VALUE!</v>
      </c>
      <c r="Z612" t="e">
        <f t="shared" si="68"/>
        <v>#VALUE!</v>
      </c>
      <c r="AA612" t="e">
        <f t="shared" si="69"/>
        <v>#VALUE!</v>
      </c>
    </row>
    <row r="613" spans="1:27" x14ac:dyDescent="0.35">
      <c r="A613" s="1" t="s">
        <v>3</v>
      </c>
      <c r="B613" s="1" t="s">
        <v>3</v>
      </c>
      <c r="C613" s="1" t="s">
        <v>3</v>
      </c>
      <c r="D613" s="1" t="s">
        <v>3</v>
      </c>
      <c r="E613" s="1" t="s">
        <v>3</v>
      </c>
      <c r="F613" s="1" t="s">
        <v>3</v>
      </c>
      <c r="G613" s="1" t="s">
        <v>3</v>
      </c>
      <c r="H613" s="1" t="s">
        <v>3</v>
      </c>
      <c r="I613" s="1" t="s">
        <v>3</v>
      </c>
      <c r="J613" s="1" t="s">
        <v>3</v>
      </c>
      <c r="K613" s="1" t="s">
        <v>3</v>
      </c>
      <c r="L613" s="1" t="s">
        <v>3</v>
      </c>
      <c r="M613" s="1" t="s">
        <v>3</v>
      </c>
      <c r="N613" s="1" t="s">
        <v>3</v>
      </c>
      <c r="O613" s="1" t="s">
        <v>3</v>
      </c>
      <c r="P613" s="1" t="s">
        <v>3</v>
      </c>
      <c r="Q613" s="1" t="s">
        <v>3</v>
      </c>
      <c r="R613" s="1" t="s">
        <v>3</v>
      </c>
      <c r="S613" s="1" t="s">
        <v>3</v>
      </c>
      <c r="T613" s="1" t="s">
        <v>3</v>
      </c>
      <c r="U613" t="e">
        <f t="shared" si="63"/>
        <v>#VALUE!</v>
      </c>
      <c r="V613" t="e">
        <f t="shared" si="64"/>
        <v>#VALUE!</v>
      </c>
      <c r="W613" t="e">
        <f t="shared" si="65"/>
        <v>#VALUE!</v>
      </c>
      <c r="X613" t="e">
        <f t="shared" si="66"/>
        <v>#VALUE!</v>
      </c>
      <c r="Y613" t="e">
        <f t="shared" si="67"/>
        <v>#VALUE!</v>
      </c>
      <c r="Z613" t="e">
        <f t="shared" si="68"/>
        <v>#VALUE!</v>
      </c>
      <c r="AA613" t="e">
        <f t="shared" si="69"/>
        <v>#VALUE!</v>
      </c>
    </row>
    <row r="614" spans="1:27" x14ac:dyDescent="0.35">
      <c r="A614" s="1" t="s">
        <v>3</v>
      </c>
      <c r="B614" s="1" t="s">
        <v>3</v>
      </c>
      <c r="C614" s="1" t="s">
        <v>3</v>
      </c>
      <c r="D614" s="1" t="s">
        <v>3</v>
      </c>
      <c r="E614" s="1" t="s">
        <v>3</v>
      </c>
      <c r="F614" s="1" t="s">
        <v>3</v>
      </c>
      <c r="G614" s="1" t="s">
        <v>3</v>
      </c>
      <c r="H614" s="1" t="s">
        <v>3</v>
      </c>
      <c r="I614" s="1" t="s">
        <v>3</v>
      </c>
      <c r="J614" s="1" t="s">
        <v>3</v>
      </c>
      <c r="K614" s="1" t="s">
        <v>3</v>
      </c>
      <c r="L614" s="1" t="s">
        <v>3</v>
      </c>
      <c r="M614" s="1" t="s">
        <v>3</v>
      </c>
      <c r="N614" s="1" t="s">
        <v>3</v>
      </c>
      <c r="O614" s="1" t="s">
        <v>3</v>
      </c>
      <c r="P614" s="1" t="s">
        <v>3</v>
      </c>
      <c r="Q614" s="1" t="s">
        <v>3</v>
      </c>
      <c r="R614" s="1" t="s">
        <v>3</v>
      </c>
      <c r="S614" s="1" t="s">
        <v>3</v>
      </c>
      <c r="T614" s="1" t="s">
        <v>3</v>
      </c>
      <c r="U614" t="e">
        <f t="shared" si="63"/>
        <v>#VALUE!</v>
      </c>
      <c r="V614" t="e">
        <f t="shared" si="64"/>
        <v>#VALUE!</v>
      </c>
      <c r="W614" t="e">
        <f t="shared" si="65"/>
        <v>#VALUE!</v>
      </c>
      <c r="X614" t="e">
        <f t="shared" si="66"/>
        <v>#VALUE!</v>
      </c>
      <c r="Y614" t="e">
        <f t="shared" si="67"/>
        <v>#VALUE!</v>
      </c>
      <c r="Z614" t="e">
        <f t="shared" si="68"/>
        <v>#VALUE!</v>
      </c>
      <c r="AA614" t="e">
        <f t="shared" si="69"/>
        <v>#VALUE!</v>
      </c>
    </row>
    <row r="615" spans="1:27" x14ac:dyDescent="0.35">
      <c r="A615" s="1" t="s">
        <v>3</v>
      </c>
      <c r="B615" s="1" t="s">
        <v>3</v>
      </c>
      <c r="C615" s="1" t="s">
        <v>3</v>
      </c>
      <c r="D615" s="1" t="s">
        <v>3</v>
      </c>
      <c r="E615" s="1" t="s">
        <v>3</v>
      </c>
      <c r="F615" s="1" t="s">
        <v>3</v>
      </c>
      <c r="G615" s="1" t="s">
        <v>3</v>
      </c>
      <c r="H615" s="1" t="s">
        <v>3</v>
      </c>
      <c r="I615" s="1" t="s">
        <v>3</v>
      </c>
      <c r="J615" s="1" t="s">
        <v>3</v>
      </c>
      <c r="K615" s="1" t="s">
        <v>3</v>
      </c>
      <c r="L615" s="1" t="s">
        <v>3</v>
      </c>
      <c r="M615" s="1" t="s">
        <v>3</v>
      </c>
      <c r="N615" s="1" t="s">
        <v>3</v>
      </c>
      <c r="O615" s="1" t="s">
        <v>3</v>
      </c>
      <c r="P615" s="1" t="s">
        <v>3</v>
      </c>
      <c r="Q615" s="1" t="s">
        <v>3</v>
      </c>
      <c r="R615" s="1" t="s">
        <v>3</v>
      </c>
      <c r="S615" s="1" t="s">
        <v>3</v>
      </c>
      <c r="T615" s="1" t="s">
        <v>3</v>
      </c>
      <c r="U615" t="e">
        <f t="shared" si="63"/>
        <v>#VALUE!</v>
      </c>
      <c r="V615" t="e">
        <f t="shared" si="64"/>
        <v>#VALUE!</v>
      </c>
      <c r="W615" t="e">
        <f t="shared" si="65"/>
        <v>#VALUE!</v>
      </c>
      <c r="X615" t="e">
        <f t="shared" si="66"/>
        <v>#VALUE!</v>
      </c>
      <c r="Y615" t="e">
        <f t="shared" si="67"/>
        <v>#VALUE!</v>
      </c>
      <c r="Z615" t="e">
        <f t="shared" si="68"/>
        <v>#VALUE!</v>
      </c>
      <c r="AA615" t="e">
        <f t="shared" si="69"/>
        <v>#VALUE!</v>
      </c>
    </row>
    <row r="616" spans="1:27" x14ac:dyDescent="0.35">
      <c r="A616" s="1" t="s">
        <v>3</v>
      </c>
      <c r="B616" s="1" t="s">
        <v>3</v>
      </c>
      <c r="C616" s="1" t="s">
        <v>3</v>
      </c>
      <c r="D616" s="1" t="s">
        <v>3</v>
      </c>
      <c r="E616" s="1" t="s">
        <v>3</v>
      </c>
      <c r="F616" s="1" t="s">
        <v>3</v>
      </c>
      <c r="G616" s="1" t="s">
        <v>3</v>
      </c>
      <c r="H616" s="1" t="s">
        <v>3</v>
      </c>
      <c r="I616" s="1" t="s">
        <v>3</v>
      </c>
      <c r="J616" s="1" t="s">
        <v>3</v>
      </c>
      <c r="K616" s="1" t="s">
        <v>3</v>
      </c>
      <c r="L616" s="1" t="s">
        <v>3</v>
      </c>
      <c r="M616" s="1" t="s">
        <v>3</v>
      </c>
      <c r="N616" s="1" t="s">
        <v>3</v>
      </c>
      <c r="O616" s="1" t="s">
        <v>3</v>
      </c>
      <c r="P616" s="1" t="s">
        <v>3</v>
      </c>
      <c r="Q616" s="1" t="s">
        <v>3</v>
      </c>
      <c r="R616" s="1" t="s">
        <v>3</v>
      </c>
      <c r="S616" s="1" t="s">
        <v>3</v>
      </c>
      <c r="T616" s="1" t="s">
        <v>3</v>
      </c>
      <c r="U616" t="e">
        <f t="shared" si="63"/>
        <v>#VALUE!</v>
      </c>
      <c r="V616" t="e">
        <f t="shared" si="64"/>
        <v>#VALUE!</v>
      </c>
      <c r="W616" t="e">
        <f t="shared" si="65"/>
        <v>#VALUE!</v>
      </c>
      <c r="X616" t="e">
        <f t="shared" si="66"/>
        <v>#VALUE!</v>
      </c>
      <c r="Y616" t="e">
        <f t="shared" si="67"/>
        <v>#VALUE!</v>
      </c>
      <c r="Z616" t="e">
        <f t="shared" si="68"/>
        <v>#VALUE!</v>
      </c>
      <c r="AA616" t="e">
        <f t="shared" si="69"/>
        <v>#VALUE!</v>
      </c>
    </row>
    <row r="617" spans="1:27" x14ac:dyDescent="0.35">
      <c r="A617" s="1" t="s">
        <v>3</v>
      </c>
      <c r="B617" s="1" t="s">
        <v>3</v>
      </c>
      <c r="C617" s="1" t="s">
        <v>3</v>
      </c>
      <c r="D617" s="1" t="s">
        <v>3</v>
      </c>
      <c r="E617" s="1" t="s">
        <v>3</v>
      </c>
      <c r="F617" s="1" t="s">
        <v>3</v>
      </c>
      <c r="G617" s="1" t="s">
        <v>3</v>
      </c>
      <c r="H617" s="1" t="s">
        <v>3</v>
      </c>
      <c r="I617" s="1" t="s">
        <v>3</v>
      </c>
      <c r="J617" s="1" t="s">
        <v>3</v>
      </c>
      <c r="K617" s="1" t="s">
        <v>3</v>
      </c>
      <c r="L617" s="1" t="s">
        <v>3</v>
      </c>
      <c r="M617" s="1" t="s">
        <v>3</v>
      </c>
      <c r="N617" s="1" t="s">
        <v>3</v>
      </c>
      <c r="O617" s="1" t="s">
        <v>3</v>
      </c>
      <c r="P617" s="1" t="s">
        <v>3</v>
      </c>
      <c r="Q617" s="1" t="s">
        <v>3</v>
      </c>
      <c r="R617" s="1" t="s">
        <v>3</v>
      </c>
      <c r="S617" s="1" t="s">
        <v>3</v>
      </c>
      <c r="T617" s="1" t="s">
        <v>3</v>
      </c>
      <c r="U617" t="e">
        <f t="shared" si="63"/>
        <v>#VALUE!</v>
      </c>
      <c r="V617" t="e">
        <f t="shared" si="64"/>
        <v>#VALUE!</v>
      </c>
      <c r="W617" t="e">
        <f t="shared" si="65"/>
        <v>#VALUE!</v>
      </c>
      <c r="X617" t="e">
        <f t="shared" si="66"/>
        <v>#VALUE!</v>
      </c>
      <c r="Y617" t="e">
        <f t="shared" si="67"/>
        <v>#VALUE!</v>
      </c>
      <c r="Z617" t="e">
        <f t="shared" si="68"/>
        <v>#VALUE!</v>
      </c>
      <c r="AA617" t="e">
        <f t="shared" si="69"/>
        <v>#VALUE!</v>
      </c>
    </row>
    <row r="618" spans="1:27" x14ac:dyDescent="0.35">
      <c r="A618" s="1" t="s">
        <v>3</v>
      </c>
      <c r="B618" s="1" t="s">
        <v>3</v>
      </c>
      <c r="C618" s="1" t="s">
        <v>3</v>
      </c>
      <c r="D618" s="1" t="s">
        <v>3</v>
      </c>
      <c r="E618" s="1" t="s">
        <v>3</v>
      </c>
      <c r="F618" s="1" t="s">
        <v>3</v>
      </c>
      <c r="G618" s="1" t="s">
        <v>3</v>
      </c>
      <c r="H618" s="1" t="s">
        <v>3</v>
      </c>
      <c r="I618" s="1" t="s">
        <v>3</v>
      </c>
      <c r="J618" s="1" t="s">
        <v>3</v>
      </c>
      <c r="K618" s="1" t="s">
        <v>3</v>
      </c>
      <c r="L618" s="1" t="s">
        <v>3</v>
      </c>
      <c r="M618" s="1" t="s">
        <v>3</v>
      </c>
      <c r="N618" s="1" t="s">
        <v>3</v>
      </c>
      <c r="O618" s="1" t="s">
        <v>3</v>
      </c>
      <c r="P618" s="1" t="s">
        <v>3</v>
      </c>
      <c r="Q618" s="1" t="s">
        <v>3</v>
      </c>
      <c r="R618" s="1" t="s">
        <v>3</v>
      </c>
      <c r="S618" s="1" t="s">
        <v>3</v>
      </c>
      <c r="T618" s="1" t="s">
        <v>3</v>
      </c>
      <c r="U618" t="e">
        <f t="shared" si="63"/>
        <v>#VALUE!</v>
      </c>
      <c r="V618" t="e">
        <f t="shared" si="64"/>
        <v>#VALUE!</v>
      </c>
      <c r="W618" t="e">
        <f t="shared" si="65"/>
        <v>#VALUE!</v>
      </c>
      <c r="X618" t="e">
        <f t="shared" si="66"/>
        <v>#VALUE!</v>
      </c>
      <c r="Y618" t="e">
        <f t="shared" si="67"/>
        <v>#VALUE!</v>
      </c>
      <c r="Z618" t="e">
        <f t="shared" si="68"/>
        <v>#VALUE!</v>
      </c>
      <c r="AA618" t="e">
        <f t="shared" si="69"/>
        <v>#VALUE!</v>
      </c>
    </row>
    <row r="619" spans="1:27" x14ac:dyDescent="0.35">
      <c r="A619" s="1" t="s">
        <v>3</v>
      </c>
      <c r="B619" s="1" t="s">
        <v>3</v>
      </c>
      <c r="C619" s="1" t="s">
        <v>3</v>
      </c>
      <c r="D619" s="1" t="s">
        <v>3</v>
      </c>
      <c r="E619" s="1" t="s">
        <v>3</v>
      </c>
      <c r="F619" s="1" t="s">
        <v>3</v>
      </c>
      <c r="G619" s="1" t="s">
        <v>3</v>
      </c>
      <c r="H619" s="1" t="s">
        <v>3</v>
      </c>
      <c r="I619" s="1" t="s">
        <v>3</v>
      </c>
      <c r="J619" s="1" t="s">
        <v>3</v>
      </c>
      <c r="K619" s="1" t="s">
        <v>3</v>
      </c>
      <c r="L619" s="1" t="s">
        <v>3</v>
      </c>
      <c r="M619" s="1" t="s">
        <v>3</v>
      </c>
      <c r="N619" s="1" t="s">
        <v>3</v>
      </c>
      <c r="O619" s="1" t="s">
        <v>3</v>
      </c>
      <c r="P619" s="1" t="s">
        <v>3</v>
      </c>
      <c r="Q619" s="1" t="s">
        <v>3</v>
      </c>
      <c r="R619" s="1" t="s">
        <v>3</v>
      </c>
      <c r="S619" s="1" t="s">
        <v>3</v>
      </c>
      <c r="T619" s="1" t="s">
        <v>3</v>
      </c>
      <c r="U619" t="e">
        <f t="shared" si="63"/>
        <v>#VALUE!</v>
      </c>
      <c r="V619" t="e">
        <f t="shared" si="64"/>
        <v>#VALUE!</v>
      </c>
      <c r="W619" t="e">
        <f t="shared" si="65"/>
        <v>#VALUE!</v>
      </c>
      <c r="X619" t="e">
        <f t="shared" si="66"/>
        <v>#VALUE!</v>
      </c>
      <c r="Y619" t="e">
        <f t="shared" si="67"/>
        <v>#VALUE!</v>
      </c>
      <c r="Z619" t="e">
        <f t="shared" si="68"/>
        <v>#VALUE!</v>
      </c>
      <c r="AA619" t="e">
        <f t="shared" si="69"/>
        <v>#VALUE!</v>
      </c>
    </row>
    <row r="620" spans="1:27" x14ac:dyDescent="0.35">
      <c r="A620" s="1" t="s">
        <v>3</v>
      </c>
      <c r="B620" s="1" t="s">
        <v>3</v>
      </c>
      <c r="C620" s="1" t="s">
        <v>3</v>
      </c>
      <c r="D620" s="1" t="s">
        <v>3</v>
      </c>
      <c r="E620" s="1" t="s">
        <v>3</v>
      </c>
      <c r="F620" s="1" t="s">
        <v>3</v>
      </c>
      <c r="G620" s="1" t="s">
        <v>3</v>
      </c>
      <c r="H620" s="1" t="s">
        <v>3</v>
      </c>
      <c r="I620" s="1" t="s">
        <v>3</v>
      </c>
      <c r="J620" s="1" t="s">
        <v>3</v>
      </c>
      <c r="K620" s="1" t="s">
        <v>3</v>
      </c>
      <c r="L620" s="1" t="s">
        <v>3</v>
      </c>
      <c r="M620" s="1" t="s">
        <v>3</v>
      </c>
      <c r="N620" s="1" t="s">
        <v>3</v>
      </c>
      <c r="O620" s="1" t="s">
        <v>3</v>
      </c>
      <c r="P620" s="1" t="s">
        <v>3</v>
      </c>
      <c r="Q620" s="1" t="s">
        <v>3</v>
      </c>
      <c r="R620" s="1" t="s">
        <v>3</v>
      </c>
      <c r="S620" s="1" t="s">
        <v>3</v>
      </c>
      <c r="T620" s="1" t="s">
        <v>3</v>
      </c>
      <c r="U620" t="e">
        <f t="shared" si="63"/>
        <v>#VALUE!</v>
      </c>
      <c r="V620" t="e">
        <f t="shared" si="64"/>
        <v>#VALUE!</v>
      </c>
      <c r="W620" t="e">
        <f t="shared" si="65"/>
        <v>#VALUE!</v>
      </c>
      <c r="X620" t="e">
        <f t="shared" si="66"/>
        <v>#VALUE!</v>
      </c>
      <c r="Y620" t="e">
        <f t="shared" si="67"/>
        <v>#VALUE!</v>
      </c>
      <c r="Z620" t="e">
        <f t="shared" si="68"/>
        <v>#VALUE!</v>
      </c>
      <c r="AA620" t="e">
        <f t="shared" si="69"/>
        <v>#VALUE!</v>
      </c>
    </row>
    <row r="621" spans="1:27" x14ac:dyDescent="0.35">
      <c r="A621" s="1" t="s">
        <v>3</v>
      </c>
      <c r="B621" s="1" t="s">
        <v>3</v>
      </c>
      <c r="C621" s="1" t="s">
        <v>3</v>
      </c>
      <c r="D621" s="1" t="s">
        <v>3</v>
      </c>
      <c r="E621" s="1" t="s">
        <v>3</v>
      </c>
      <c r="F621" s="1" t="s">
        <v>3</v>
      </c>
      <c r="G621" s="1" t="s">
        <v>3</v>
      </c>
      <c r="H621" s="1" t="s">
        <v>3</v>
      </c>
      <c r="I621" s="1" t="s">
        <v>3</v>
      </c>
      <c r="J621" s="1" t="s">
        <v>3</v>
      </c>
      <c r="K621" s="1" t="s">
        <v>3</v>
      </c>
      <c r="L621" s="1" t="s">
        <v>3</v>
      </c>
      <c r="M621" s="1" t="s">
        <v>3</v>
      </c>
      <c r="N621" s="1" t="s">
        <v>3</v>
      </c>
      <c r="O621" s="1" t="s">
        <v>3</v>
      </c>
      <c r="P621" s="1" t="s">
        <v>3</v>
      </c>
      <c r="Q621" s="1" t="s">
        <v>3</v>
      </c>
      <c r="R621" s="1" t="s">
        <v>3</v>
      </c>
      <c r="S621" s="1" t="s">
        <v>3</v>
      </c>
      <c r="T621" s="1" t="s">
        <v>3</v>
      </c>
      <c r="U621" t="e">
        <f t="shared" si="63"/>
        <v>#VALUE!</v>
      </c>
      <c r="V621" t="e">
        <f t="shared" si="64"/>
        <v>#VALUE!</v>
      </c>
      <c r="W621" t="e">
        <f t="shared" si="65"/>
        <v>#VALUE!</v>
      </c>
      <c r="X621" t="e">
        <f t="shared" si="66"/>
        <v>#VALUE!</v>
      </c>
      <c r="Y621" t="e">
        <f t="shared" si="67"/>
        <v>#VALUE!</v>
      </c>
      <c r="Z621" t="e">
        <f t="shared" si="68"/>
        <v>#VALUE!</v>
      </c>
      <c r="AA621" t="e">
        <f t="shared" si="69"/>
        <v>#VALUE!</v>
      </c>
    </row>
    <row r="622" spans="1:27" x14ac:dyDescent="0.35">
      <c r="A622" s="1" t="s">
        <v>3</v>
      </c>
      <c r="B622" s="1" t="s">
        <v>3</v>
      </c>
      <c r="C622" s="1" t="s">
        <v>3</v>
      </c>
      <c r="D622" s="1" t="s">
        <v>3</v>
      </c>
      <c r="E622" s="1" t="s">
        <v>3</v>
      </c>
      <c r="F622" s="1" t="s">
        <v>3</v>
      </c>
      <c r="G622" s="1" t="s">
        <v>3</v>
      </c>
      <c r="H622" s="1" t="s">
        <v>3</v>
      </c>
      <c r="I622" s="1" t="s">
        <v>3</v>
      </c>
      <c r="J622" s="1" t="s">
        <v>3</v>
      </c>
      <c r="K622" s="1" t="s">
        <v>3</v>
      </c>
      <c r="L622" s="1" t="s">
        <v>3</v>
      </c>
      <c r="M622" s="1" t="s">
        <v>3</v>
      </c>
      <c r="N622" s="1" t="s">
        <v>3</v>
      </c>
      <c r="O622" s="1" t="s">
        <v>3</v>
      </c>
      <c r="P622" s="1" t="s">
        <v>3</v>
      </c>
      <c r="Q622" s="1" t="s">
        <v>3</v>
      </c>
      <c r="R622" s="1" t="s">
        <v>3</v>
      </c>
      <c r="S622" s="1" t="s">
        <v>3</v>
      </c>
      <c r="T622" s="1" t="s">
        <v>3</v>
      </c>
      <c r="U622" t="e">
        <f t="shared" si="63"/>
        <v>#VALUE!</v>
      </c>
      <c r="V622" t="e">
        <f t="shared" si="64"/>
        <v>#VALUE!</v>
      </c>
      <c r="W622" t="e">
        <f t="shared" si="65"/>
        <v>#VALUE!</v>
      </c>
      <c r="X622" t="e">
        <f t="shared" si="66"/>
        <v>#VALUE!</v>
      </c>
      <c r="Y622" t="e">
        <f t="shared" si="67"/>
        <v>#VALUE!</v>
      </c>
      <c r="Z622" t="e">
        <f t="shared" si="68"/>
        <v>#VALUE!</v>
      </c>
      <c r="AA622" t="e">
        <f t="shared" si="69"/>
        <v>#VALUE!</v>
      </c>
    </row>
    <row r="623" spans="1:27" x14ac:dyDescent="0.35">
      <c r="A623" s="1" t="s">
        <v>3</v>
      </c>
      <c r="B623" s="1" t="s">
        <v>3</v>
      </c>
      <c r="C623" s="1" t="s">
        <v>3</v>
      </c>
      <c r="D623" s="1" t="s">
        <v>3</v>
      </c>
      <c r="E623" s="1" t="s">
        <v>3</v>
      </c>
      <c r="F623" s="1" t="s">
        <v>3</v>
      </c>
      <c r="G623" s="1" t="s">
        <v>3</v>
      </c>
      <c r="H623" s="1" t="s">
        <v>3</v>
      </c>
      <c r="I623" s="1" t="s">
        <v>3</v>
      </c>
      <c r="J623" s="1" t="s">
        <v>3</v>
      </c>
      <c r="K623" s="1" t="s">
        <v>3</v>
      </c>
      <c r="L623" s="1" t="s">
        <v>3</v>
      </c>
      <c r="M623" s="1" t="s">
        <v>3</v>
      </c>
      <c r="N623" s="1" t="s">
        <v>3</v>
      </c>
      <c r="O623" s="1" t="s">
        <v>3</v>
      </c>
      <c r="P623" s="1" t="s">
        <v>3</v>
      </c>
      <c r="Q623" s="1" t="s">
        <v>3</v>
      </c>
      <c r="R623" s="1" t="s">
        <v>3</v>
      </c>
      <c r="S623" s="1" t="s">
        <v>3</v>
      </c>
      <c r="T623" s="1" t="s">
        <v>3</v>
      </c>
      <c r="U623" t="e">
        <f t="shared" si="63"/>
        <v>#VALUE!</v>
      </c>
      <c r="V623" t="e">
        <f t="shared" si="64"/>
        <v>#VALUE!</v>
      </c>
      <c r="W623" t="e">
        <f t="shared" si="65"/>
        <v>#VALUE!</v>
      </c>
      <c r="X623" t="e">
        <f t="shared" si="66"/>
        <v>#VALUE!</v>
      </c>
      <c r="Y623" t="e">
        <f t="shared" si="67"/>
        <v>#VALUE!</v>
      </c>
      <c r="Z623" t="e">
        <f t="shared" si="68"/>
        <v>#VALUE!</v>
      </c>
      <c r="AA623" t="e">
        <f t="shared" si="69"/>
        <v>#VALUE!</v>
      </c>
    </row>
    <row r="624" spans="1:27" x14ac:dyDescent="0.35">
      <c r="A624" s="1" t="s">
        <v>3</v>
      </c>
      <c r="B624" s="1" t="s">
        <v>3</v>
      </c>
      <c r="C624" s="1" t="s">
        <v>3</v>
      </c>
      <c r="D624" s="1" t="s">
        <v>3</v>
      </c>
      <c r="E624" s="1" t="s">
        <v>3</v>
      </c>
      <c r="F624" s="1" t="s">
        <v>3</v>
      </c>
      <c r="G624" s="1" t="s">
        <v>3</v>
      </c>
      <c r="H624" s="1" t="s">
        <v>3</v>
      </c>
      <c r="I624" s="1" t="s">
        <v>3</v>
      </c>
      <c r="J624" s="1" t="s">
        <v>3</v>
      </c>
      <c r="K624" s="1" t="s">
        <v>3</v>
      </c>
      <c r="L624" s="1" t="s">
        <v>3</v>
      </c>
      <c r="M624" s="1" t="s">
        <v>3</v>
      </c>
      <c r="N624" s="1" t="s">
        <v>3</v>
      </c>
      <c r="O624" s="1" t="s">
        <v>3</v>
      </c>
      <c r="P624" s="1" t="s">
        <v>3</v>
      </c>
      <c r="Q624" s="1" t="s">
        <v>3</v>
      </c>
      <c r="R624" s="1" t="s">
        <v>3</v>
      </c>
      <c r="S624" s="1" t="s">
        <v>3</v>
      </c>
      <c r="T624" s="1" t="s">
        <v>3</v>
      </c>
      <c r="U624" t="e">
        <f t="shared" si="63"/>
        <v>#VALUE!</v>
      </c>
      <c r="V624" t="e">
        <f t="shared" si="64"/>
        <v>#VALUE!</v>
      </c>
      <c r="W624" t="e">
        <f t="shared" si="65"/>
        <v>#VALUE!</v>
      </c>
      <c r="X624" t="e">
        <f t="shared" si="66"/>
        <v>#VALUE!</v>
      </c>
      <c r="Y624" t="e">
        <f t="shared" si="67"/>
        <v>#VALUE!</v>
      </c>
      <c r="Z624" t="e">
        <f t="shared" si="68"/>
        <v>#VALUE!</v>
      </c>
      <c r="AA624" t="e">
        <f t="shared" si="69"/>
        <v>#VALUE!</v>
      </c>
    </row>
    <row r="625" spans="1:27" x14ac:dyDescent="0.35">
      <c r="A625" s="1" t="s">
        <v>3</v>
      </c>
      <c r="B625" s="1" t="s">
        <v>3</v>
      </c>
      <c r="C625" s="1" t="s">
        <v>3</v>
      </c>
      <c r="D625" s="1">
        <v>42.938229999999997</v>
      </c>
      <c r="E625" s="1">
        <v>19.869730000000001</v>
      </c>
      <c r="F625" s="1">
        <v>-903.88134000000002</v>
      </c>
      <c r="G625" s="1">
        <v>0.48527999999999999</v>
      </c>
      <c r="H625" s="1" t="s">
        <v>3</v>
      </c>
      <c r="I625" s="1">
        <v>-0.27492</v>
      </c>
      <c r="J625" s="1">
        <v>1891237.17408</v>
      </c>
      <c r="K625" s="1">
        <v>-24201807.341430001</v>
      </c>
      <c r="L625" s="1">
        <v>88031675.211740002</v>
      </c>
      <c r="M625" s="1">
        <v>-17872090.260770001</v>
      </c>
      <c r="N625" s="1">
        <v>41481813.165700004</v>
      </c>
      <c r="O625" s="1">
        <v>-22703581.199930001</v>
      </c>
      <c r="P625" s="1">
        <v>17491653.34849</v>
      </c>
      <c r="Q625" s="1">
        <v>22817730.305840001</v>
      </c>
      <c r="R625" s="1">
        <v>47019537.647260003</v>
      </c>
      <c r="S625" s="1">
        <v>-12195248.26681</v>
      </c>
      <c r="T625" s="1">
        <v>-1.08039</v>
      </c>
      <c r="U625">
        <f t="shared" si="63"/>
        <v>-0.77084365442226555</v>
      </c>
      <c r="V625">
        <f t="shared" si="64"/>
        <v>-2.0049236003677815</v>
      </c>
      <c r="W625">
        <f t="shared" si="65"/>
        <v>-0.8723116860040111</v>
      </c>
      <c r="X625">
        <f t="shared" si="66"/>
        <v>1</v>
      </c>
      <c r="Y625">
        <f t="shared" si="67"/>
        <v>0</v>
      </c>
      <c r="Z625">
        <f t="shared" si="68"/>
        <v>1</v>
      </c>
      <c r="AA625">
        <f t="shared" si="69"/>
        <v>1</v>
      </c>
    </row>
    <row r="626" spans="1:27" x14ac:dyDescent="0.35">
      <c r="A626">
        <v>-8.3865746675213</v>
      </c>
      <c r="B626" s="1">
        <v>-27.034920620325899</v>
      </c>
      <c r="C626">
        <v>-7.9027365098153002E-2</v>
      </c>
      <c r="D626">
        <v>51.977809999999998</v>
      </c>
      <c r="E626">
        <v>21.385560000000002</v>
      </c>
      <c r="F626">
        <v>-2307.4699599999999</v>
      </c>
      <c r="G626">
        <v>0.38646999999999998</v>
      </c>
      <c r="H626">
        <v>1.6534245829788002E-2</v>
      </c>
      <c r="I626">
        <v>-0.36020000000000002</v>
      </c>
      <c r="J626">
        <v>-2628997.3357000002</v>
      </c>
      <c r="K626" s="1">
        <v>-29552871.862039998</v>
      </c>
      <c r="L626">
        <v>82046428.433829993</v>
      </c>
      <c r="M626">
        <v>-6904020.9690399999</v>
      </c>
      <c r="N626">
        <v>1406056.58797</v>
      </c>
      <c r="O626" s="1">
        <v>-7131863.5776699996</v>
      </c>
      <c r="P626">
        <v>17546084.554340001</v>
      </c>
      <c r="Q626">
        <v>18615631.157480001</v>
      </c>
      <c r="R626">
        <v>48168503.01952</v>
      </c>
      <c r="S626">
        <v>-6720412.1960000005</v>
      </c>
      <c r="T626">
        <v>-1.22864</v>
      </c>
      <c r="U626">
        <f t="shared" si="63"/>
        <v>-0.71020941009640626</v>
      </c>
      <c r="V626">
        <f t="shared" si="64"/>
        <v>-2.6883161744617796</v>
      </c>
      <c r="W626">
        <f t="shared" si="65"/>
        <v>-0.81753692835222957</v>
      </c>
      <c r="X626">
        <f t="shared" si="66"/>
        <v>1</v>
      </c>
      <c r="Y626">
        <f t="shared" si="67"/>
        <v>0</v>
      </c>
      <c r="Z626">
        <f t="shared" si="68"/>
        <v>1</v>
      </c>
      <c r="AA626">
        <f t="shared" si="69"/>
        <v>1</v>
      </c>
    </row>
    <row r="627" spans="1:27" x14ac:dyDescent="0.35">
      <c r="A627">
        <v>1.7796300549836499</v>
      </c>
      <c r="B627" s="1">
        <v>5.3096098371211697</v>
      </c>
      <c r="C627">
        <v>4.9707148416483E-2</v>
      </c>
      <c r="D627">
        <v>19.305219999999998</v>
      </c>
      <c r="E627">
        <v>11.608750000000001</v>
      </c>
      <c r="F627">
        <v>2.7986599999999999</v>
      </c>
      <c r="G627">
        <v>0.68010000000000004</v>
      </c>
      <c r="H627">
        <v>0.34088022753326003</v>
      </c>
      <c r="I627">
        <v>-0.12717999999999999</v>
      </c>
      <c r="J627">
        <v>610754.76676000003</v>
      </c>
      <c r="K627" s="1">
        <v>-10582242.958040001</v>
      </c>
      <c r="L627">
        <v>83209714.330459997</v>
      </c>
      <c r="M627">
        <v>2320495.9672900001</v>
      </c>
      <c r="N627">
        <v>28166275.77338</v>
      </c>
      <c r="O627" s="1">
        <v>1470473.99217</v>
      </c>
      <c r="P627">
        <v>9659605.7608400006</v>
      </c>
      <c r="Q627">
        <v>22497669.70253</v>
      </c>
      <c r="R627">
        <v>33079912.660560001</v>
      </c>
      <c r="S627">
        <v>4107205.8075600001</v>
      </c>
      <c r="T627">
        <v>-1.17503</v>
      </c>
      <c r="U627">
        <f t="shared" si="63"/>
        <v>0.20224019679482291</v>
      </c>
      <c r="V627">
        <f t="shared" si="64"/>
        <v>-3.7151045441890949</v>
      </c>
      <c r="W627">
        <f t="shared" si="65"/>
        <v>1.5463446777008845E-2</v>
      </c>
      <c r="X627">
        <f t="shared" si="66"/>
        <v>1</v>
      </c>
      <c r="Y627">
        <f t="shared" si="67"/>
        <v>0</v>
      </c>
      <c r="Z627">
        <f t="shared" si="68"/>
        <v>0</v>
      </c>
      <c r="AA627">
        <f t="shared" si="69"/>
        <v>0</v>
      </c>
    </row>
    <row r="628" spans="1:27" x14ac:dyDescent="0.35">
      <c r="A628">
        <v>39.086327825390903</v>
      </c>
      <c r="B628" s="1">
        <v>72.108638488408502</v>
      </c>
      <c r="C628">
        <v>0.52695700610513396</v>
      </c>
      <c r="D628">
        <v>0</v>
      </c>
      <c r="E628">
        <v>0</v>
      </c>
      <c r="F628">
        <v>56.879530000000003</v>
      </c>
      <c r="G628">
        <v>1.9963</v>
      </c>
      <c r="H628">
        <v>1.0559832507886</v>
      </c>
      <c r="I628">
        <v>0.26300000000000001</v>
      </c>
      <c r="J628">
        <v>27754560.55954</v>
      </c>
      <c r="K628" s="1">
        <v>29112000</v>
      </c>
      <c r="L628">
        <v>110690000</v>
      </c>
      <c r="M628">
        <v>50031504.943499997</v>
      </c>
      <c r="N628">
        <v>102377425.33283</v>
      </c>
      <c r="O628" s="1">
        <v>37894138.997850001</v>
      </c>
      <c r="P628">
        <v>0</v>
      </c>
      <c r="Q628">
        <v>58332000</v>
      </c>
      <c r="R628">
        <v>29220000</v>
      </c>
      <c r="S628">
        <v>51088406.47411</v>
      </c>
      <c r="T628">
        <v>-0.47228999999999999</v>
      </c>
      <c r="U628">
        <f t="shared" si="63"/>
        <v>3.1878737594730788</v>
      </c>
      <c r="V628">
        <f t="shared" si="64"/>
        <v>-5.83256610330585</v>
      </c>
      <c r="W628">
        <f t="shared" si="65"/>
        <v>2.0675343017601957</v>
      </c>
      <c r="X628">
        <f t="shared" si="66"/>
        <v>0</v>
      </c>
      <c r="Y628">
        <f t="shared" si="67"/>
        <v>0</v>
      </c>
      <c r="Z628">
        <f t="shared" si="68"/>
        <v>0</v>
      </c>
      <c r="AA628">
        <f t="shared" si="69"/>
        <v>0</v>
      </c>
    </row>
    <row r="629" spans="1:27" x14ac:dyDescent="0.35">
      <c r="A629">
        <v>8.9507911912475908</v>
      </c>
      <c r="B629" s="1">
        <v>17.506149734118601</v>
      </c>
      <c r="C629">
        <v>0.115755740245105</v>
      </c>
      <c r="D629">
        <v>61.285649999999997</v>
      </c>
      <c r="E629">
        <v>32.153509999999997</v>
      </c>
      <c r="F629">
        <v>15.7524</v>
      </c>
      <c r="G629">
        <v>3.4897200000000002</v>
      </c>
      <c r="H629">
        <v>0.57486383058646795</v>
      </c>
      <c r="I629">
        <v>0.51180999999999999</v>
      </c>
      <c r="J629">
        <v>-1120000</v>
      </c>
      <c r="K629" s="1">
        <v>117749000</v>
      </c>
      <c r="L629">
        <v>230062000</v>
      </c>
      <c r="M629">
        <v>19588000</v>
      </c>
      <c r="N629">
        <v>97943000</v>
      </c>
      <c r="O629" s="1">
        <v>15250000</v>
      </c>
      <c r="P629">
        <v>73973000</v>
      </c>
      <c r="Q629">
        <v>165043000</v>
      </c>
      <c r="R629">
        <v>47294000</v>
      </c>
      <c r="S629">
        <v>19722000</v>
      </c>
      <c r="T629">
        <v>-0.15934000000000001</v>
      </c>
      <c r="U629">
        <f t="shared" si="63"/>
        <v>1.2339888694388426</v>
      </c>
      <c r="V629">
        <f t="shared" si="64"/>
        <v>-2.7515803939888044</v>
      </c>
      <c r="W629">
        <f t="shared" si="65"/>
        <v>1.1943609635663428</v>
      </c>
      <c r="X629">
        <f t="shared" si="66"/>
        <v>0</v>
      </c>
      <c r="Y629">
        <f t="shared" si="67"/>
        <v>0</v>
      </c>
      <c r="Z629">
        <f t="shared" si="68"/>
        <v>0</v>
      </c>
      <c r="AA629">
        <f t="shared" si="69"/>
        <v>0</v>
      </c>
    </row>
    <row r="630" spans="1:27" x14ac:dyDescent="0.35">
      <c r="A630">
        <v>16.9304801435161</v>
      </c>
      <c r="B630" s="1">
        <v>77.511774886348803</v>
      </c>
      <c r="C630">
        <v>3.5383976356893998E-2</v>
      </c>
      <c r="D630">
        <v>144.26142999999999</v>
      </c>
      <c r="E630">
        <v>45.920569999999998</v>
      </c>
      <c r="F630">
        <v>0.72545999999999999</v>
      </c>
      <c r="G630">
        <v>1.95191</v>
      </c>
      <c r="H630">
        <v>0.79858535812791498</v>
      </c>
      <c r="I630">
        <v>0.18590000000000001</v>
      </c>
      <c r="J630">
        <v>-2649000</v>
      </c>
      <c r="K630" s="1">
        <v>330498000</v>
      </c>
      <c r="L630">
        <v>1777796000</v>
      </c>
      <c r="M630">
        <v>179952000</v>
      </c>
      <c r="N630">
        <v>801723000</v>
      </c>
      <c r="O630" s="1">
        <v>169970000</v>
      </c>
      <c r="P630">
        <v>816374000</v>
      </c>
      <c r="Q630">
        <v>677691000</v>
      </c>
      <c r="R630">
        <v>347193000</v>
      </c>
      <c r="S630">
        <v>35523000</v>
      </c>
      <c r="T630">
        <v>6.9819999999999993E-2</v>
      </c>
      <c r="U630">
        <f t="shared" si="63"/>
        <v>0.77529084516308433</v>
      </c>
      <c r="V630">
        <f t="shared" si="64"/>
        <v>-2.1049521867991485</v>
      </c>
      <c r="W630">
        <f t="shared" si="65"/>
        <v>0.43328699355831596</v>
      </c>
      <c r="X630">
        <f t="shared" si="66"/>
        <v>1</v>
      </c>
      <c r="Y630">
        <f t="shared" si="67"/>
        <v>0</v>
      </c>
      <c r="Z630">
        <f t="shared" si="68"/>
        <v>0</v>
      </c>
      <c r="AA630">
        <f t="shared" si="69"/>
        <v>0</v>
      </c>
    </row>
    <row r="631" spans="1:27" x14ac:dyDescent="0.35">
      <c r="A631" s="1" t="s">
        <v>3</v>
      </c>
      <c r="B631" s="1" t="s">
        <v>3</v>
      </c>
      <c r="C631" s="1" t="s">
        <v>3</v>
      </c>
      <c r="D631" s="1" t="s">
        <v>3</v>
      </c>
      <c r="E631" s="1" t="s">
        <v>3</v>
      </c>
      <c r="F631" s="1" t="s">
        <v>3</v>
      </c>
      <c r="G631" s="1" t="s">
        <v>3</v>
      </c>
      <c r="H631" s="1" t="s">
        <v>3</v>
      </c>
      <c r="I631" s="1" t="s">
        <v>3</v>
      </c>
      <c r="J631" s="1" t="s">
        <v>3</v>
      </c>
      <c r="K631" s="1" t="s">
        <v>3</v>
      </c>
      <c r="L631" s="1" t="s">
        <v>3</v>
      </c>
      <c r="M631" s="1" t="s">
        <v>3</v>
      </c>
      <c r="N631" s="1" t="s">
        <v>3</v>
      </c>
      <c r="O631" s="1" t="s">
        <v>3</v>
      </c>
      <c r="P631" s="1" t="s">
        <v>3</v>
      </c>
      <c r="Q631" s="1" t="s">
        <v>3</v>
      </c>
      <c r="R631" s="1" t="s">
        <v>3</v>
      </c>
      <c r="S631" s="1" t="s">
        <v>3</v>
      </c>
      <c r="T631" s="1" t="s">
        <v>3</v>
      </c>
      <c r="U631" t="e">
        <f t="shared" si="63"/>
        <v>#VALUE!</v>
      </c>
      <c r="V631" t="e">
        <f t="shared" si="64"/>
        <v>#VALUE!</v>
      </c>
      <c r="W631" t="e">
        <f t="shared" si="65"/>
        <v>#VALUE!</v>
      </c>
      <c r="X631" t="e">
        <f t="shared" si="66"/>
        <v>#VALUE!</v>
      </c>
      <c r="Y631" t="e">
        <f t="shared" si="67"/>
        <v>#VALUE!</v>
      </c>
      <c r="Z631" t="e">
        <f t="shared" si="68"/>
        <v>#VALUE!</v>
      </c>
      <c r="AA631" t="e">
        <f t="shared" si="69"/>
        <v>#VALUE!</v>
      </c>
    </row>
    <row r="632" spans="1:27" x14ac:dyDescent="0.35">
      <c r="A632" s="1">
        <v>2.8780209304320601</v>
      </c>
      <c r="B632" s="1">
        <v>26.966118063757801</v>
      </c>
      <c r="C632" s="1">
        <v>9.3589616163525E-2</v>
      </c>
      <c r="D632" s="1">
        <v>439.37578000000002</v>
      </c>
      <c r="E632" s="1">
        <v>61.620950000000001</v>
      </c>
      <c r="F632" s="1">
        <v>1.1722699999999999</v>
      </c>
      <c r="G632" s="1">
        <v>1.03644</v>
      </c>
      <c r="H632" s="1">
        <v>0.43743652833739</v>
      </c>
      <c r="I632" s="1">
        <v>1.205E-2</v>
      </c>
      <c r="J632" s="1">
        <v>20434920346.049099</v>
      </c>
      <c r="K632" s="1">
        <v>34489910000</v>
      </c>
      <c r="L632">
        <v>2861151020000</v>
      </c>
      <c r="M632" s="1">
        <v>72952762621.253403</v>
      </c>
      <c r="N632" s="1">
        <v>786584406656.67603</v>
      </c>
      <c r="O632" s="1">
        <v>51751653994.5504</v>
      </c>
      <c r="P632" s="1">
        <v>1763068450000</v>
      </c>
      <c r="Q632" s="1">
        <v>980969990000</v>
      </c>
      <c r="R632" s="1">
        <v>946480080000</v>
      </c>
      <c r="S632" s="1">
        <v>168289861340.599</v>
      </c>
      <c r="T632" s="1">
        <v>-3.3700000000000002E-3</v>
      </c>
      <c r="U632">
        <f t="shared" si="63"/>
        <v>0.35382933870443894</v>
      </c>
      <c r="V632">
        <f t="shared" si="64"/>
        <v>-0.86485473821512726</v>
      </c>
      <c r="W632">
        <f t="shared" si="65"/>
        <v>0.27739908468980845</v>
      </c>
      <c r="X632">
        <f t="shared" si="66"/>
        <v>1</v>
      </c>
      <c r="Y632">
        <f t="shared" si="67"/>
        <v>0</v>
      </c>
      <c r="Z632">
        <f t="shared" si="68"/>
        <v>0</v>
      </c>
      <c r="AA632">
        <f t="shared" si="69"/>
        <v>0</v>
      </c>
    </row>
    <row r="633" spans="1:27" x14ac:dyDescent="0.35">
      <c r="A633" s="1">
        <v>1.0110288569306201</v>
      </c>
      <c r="B633" s="1">
        <v>6.6506548111735304</v>
      </c>
      <c r="C633" s="1">
        <v>6.9853869655743001E-2</v>
      </c>
      <c r="D633" s="1">
        <v>274.58069</v>
      </c>
      <c r="E633" s="1">
        <v>46.763939999999998</v>
      </c>
      <c r="F633" s="1">
        <v>0.66427000000000003</v>
      </c>
      <c r="G633" s="1">
        <v>0.73570999999999998</v>
      </c>
      <c r="H633" s="1">
        <v>0.604876728012675</v>
      </c>
      <c r="I633" s="1">
        <v>-0.14298</v>
      </c>
      <c r="J633" s="1">
        <v>348637189986.37598</v>
      </c>
      <c r="K633" s="1">
        <v>-329696340000</v>
      </c>
      <c r="L633" s="1">
        <v>2305879488000</v>
      </c>
      <c r="M633" s="1">
        <v>35965488351.498596</v>
      </c>
      <c r="N633" s="1">
        <v>1562708253610.3501</v>
      </c>
      <c r="O633" s="1">
        <v>26120084741.144402</v>
      </c>
      <c r="P633" s="1">
        <v>1078320000000</v>
      </c>
      <c r="Q633" s="1">
        <v>917776124000</v>
      </c>
      <c r="R633" s="1">
        <v>1247472464000</v>
      </c>
      <c r="S633" s="1">
        <v>180468537806.54001</v>
      </c>
      <c r="T633" s="1">
        <v>7.3400000000000002E-3</v>
      </c>
      <c r="U633">
        <f t="shared" si="63"/>
        <v>0.3831125374965072</v>
      </c>
      <c r="V633">
        <f t="shared" si="64"/>
        <v>-1.6824870419965405</v>
      </c>
      <c r="W633">
        <f t="shared" si="65"/>
        <v>8.7675437904463652E-2</v>
      </c>
      <c r="X633">
        <f t="shared" si="66"/>
        <v>1</v>
      </c>
      <c r="Y633">
        <f t="shared" si="67"/>
        <v>0</v>
      </c>
      <c r="Z633">
        <f t="shared" si="68"/>
        <v>0</v>
      </c>
      <c r="AA633">
        <f t="shared" si="69"/>
        <v>0</v>
      </c>
    </row>
    <row r="634" spans="1:27" x14ac:dyDescent="0.35">
      <c r="A634" s="1">
        <v>2.0988434842098602</v>
      </c>
      <c r="B634" s="1">
        <v>5.7373280978245598</v>
      </c>
      <c r="C634" s="1">
        <v>0.110804104915306</v>
      </c>
      <c r="D634" s="1">
        <v>104.10478000000001</v>
      </c>
      <c r="E634" s="1">
        <v>47.086950000000002</v>
      </c>
      <c r="F634" s="1">
        <v>0.73307999999999995</v>
      </c>
      <c r="G634" s="1">
        <v>1.7155100000000001</v>
      </c>
      <c r="H634" s="1">
        <v>0.54634742509498302</v>
      </c>
      <c r="I634" s="1">
        <v>0.16968</v>
      </c>
      <c r="J634" s="1">
        <v>161018861316.207</v>
      </c>
      <c r="K634" s="1">
        <v>890877442530</v>
      </c>
      <c r="L634" s="1">
        <v>5250210783810</v>
      </c>
      <c r="M634" s="1">
        <v>109628523480.153</v>
      </c>
      <c r="N634" s="1">
        <v>2064125231894.3201</v>
      </c>
      <c r="O634" s="1">
        <v>79295254165.4496</v>
      </c>
      <c r="P634" s="1">
        <v>2472164137740</v>
      </c>
      <c r="Q634" s="1">
        <v>2135976343410</v>
      </c>
      <c r="R634" s="1">
        <v>1245098900880</v>
      </c>
      <c r="S634" s="1">
        <v>418622909613.58002</v>
      </c>
      <c r="T634" s="1">
        <v>1.8890000000000001E-2</v>
      </c>
      <c r="U634">
        <f t="shared" si="63"/>
        <v>0.63493163449590229</v>
      </c>
      <c r="V634">
        <f t="shared" si="64"/>
        <v>-1.6771464404713869</v>
      </c>
      <c r="W634">
        <f t="shared" si="65"/>
        <v>0.60863668809198512</v>
      </c>
      <c r="X634">
        <f t="shared" si="66"/>
        <v>1</v>
      </c>
      <c r="Y634">
        <f t="shared" si="67"/>
        <v>0</v>
      </c>
      <c r="Z634">
        <f t="shared" si="68"/>
        <v>0</v>
      </c>
      <c r="AA634">
        <f t="shared" si="69"/>
        <v>0</v>
      </c>
    </row>
    <row r="635" spans="1:27" x14ac:dyDescent="0.35">
      <c r="A635" s="1">
        <v>1.83940301870429</v>
      </c>
      <c r="B635" s="1">
        <v>3.7865897129880999</v>
      </c>
      <c r="C635" s="1">
        <v>4.5649655284488999E-2</v>
      </c>
      <c r="D635" s="1">
        <v>67.19632</v>
      </c>
      <c r="E635" s="1">
        <v>34.747579999999999</v>
      </c>
      <c r="F635" s="1">
        <v>0.75275000000000003</v>
      </c>
      <c r="G635" s="1">
        <v>1.03363</v>
      </c>
      <c r="H635" s="1">
        <v>0.38288854447389298</v>
      </c>
      <c r="I635" s="1">
        <v>1.035E-2</v>
      </c>
      <c r="J635" s="1">
        <v>994871102267.74902</v>
      </c>
      <c r="K635" s="1">
        <v>60368228200</v>
      </c>
      <c r="L635" s="1">
        <v>5831817050150</v>
      </c>
      <c r="M635" s="1">
        <v>100277102672.86099</v>
      </c>
      <c r="N635" s="1">
        <v>2121590753582.05</v>
      </c>
      <c r="O635" s="1">
        <v>101921577255.755</v>
      </c>
      <c r="P635" s="1">
        <v>2026415364050</v>
      </c>
      <c r="Q635" s="1">
        <v>1855598573500</v>
      </c>
      <c r="R635" s="1">
        <v>1795230345300</v>
      </c>
      <c r="S635" s="1">
        <v>252945375236.69199</v>
      </c>
      <c r="T635" s="1">
        <v>3.934E-2</v>
      </c>
      <c r="U635">
        <f t="shared" si="63"/>
        <v>0.32620251777522014</v>
      </c>
      <c r="V635">
        <f t="shared" si="64"/>
        <v>-2.393899023869003</v>
      </c>
      <c r="W635">
        <f t="shared" si="65"/>
        <v>0.22200249764300153</v>
      </c>
      <c r="X635">
        <f t="shared" si="66"/>
        <v>1</v>
      </c>
      <c r="Y635">
        <f t="shared" si="67"/>
        <v>0</v>
      </c>
      <c r="Z635">
        <f t="shared" si="68"/>
        <v>0</v>
      </c>
      <c r="AA635">
        <f t="shared" si="69"/>
        <v>0</v>
      </c>
    </row>
    <row r="636" spans="1:27" x14ac:dyDescent="0.35">
      <c r="A636" s="1">
        <v>-0.210259582997255</v>
      </c>
      <c r="B636" s="1">
        <v>-0.684813747198737</v>
      </c>
      <c r="C636" s="1">
        <v>9.6510910803389999E-3</v>
      </c>
      <c r="D636" s="1">
        <v>52.851460000000003</v>
      </c>
      <c r="E636" s="1">
        <v>31.41985</v>
      </c>
      <c r="F636" s="1">
        <v>0.42143999999999998</v>
      </c>
      <c r="G636" s="1">
        <v>0.92549999999999999</v>
      </c>
      <c r="H636" s="1">
        <v>0.41005431273972598</v>
      </c>
      <c r="I636" s="1">
        <v>-2.4629999999999999E-2</v>
      </c>
      <c r="J636" s="1">
        <v>502667956524.71899</v>
      </c>
      <c r="K636" s="1">
        <v>-107248301400</v>
      </c>
      <c r="L636" s="1">
        <v>4353820728540</v>
      </c>
      <c r="M636" s="1">
        <v>-61127846791.160797</v>
      </c>
      <c r="N636" s="1">
        <v>2088332349578.26</v>
      </c>
      <c r="O636" s="1">
        <v>-10708139759.5422</v>
      </c>
      <c r="P636" s="1">
        <v>1367963856060</v>
      </c>
      <c r="Q636" s="1">
        <v>1332249141240</v>
      </c>
      <c r="R636" s="1">
        <v>1439497442640</v>
      </c>
      <c r="S636" s="1">
        <v>49151258956.740997</v>
      </c>
      <c r="T636" s="1">
        <v>4.1750000000000002E-2</v>
      </c>
      <c r="U636">
        <f t="shared" si="63"/>
        <v>0.17312111036705913</v>
      </c>
      <c r="V636">
        <f t="shared" si="64"/>
        <v>-2.4942990137844832</v>
      </c>
      <c r="W636">
        <f t="shared" si="65"/>
        <v>5.4744477168516915E-2</v>
      </c>
      <c r="X636">
        <f t="shared" si="66"/>
        <v>1</v>
      </c>
      <c r="Y636">
        <f t="shared" si="67"/>
        <v>0</v>
      </c>
      <c r="Z636">
        <f t="shared" si="68"/>
        <v>0</v>
      </c>
      <c r="AA636">
        <f t="shared" si="69"/>
        <v>0</v>
      </c>
    </row>
    <row r="637" spans="1:27" x14ac:dyDescent="0.35">
      <c r="A637" s="1">
        <v>9.9625370973376995E-2</v>
      </c>
      <c r="B637" s="1">
        <v>0.19043407566301199</v>
      </c>
      <c r="C637" s="1">
        <v>1.124737845979E-2</v>
      </c>
      <c r="D637" s="1">
        <v>20.41058</v>
      </c>
      <c r="E637" s="1">
        <v>14.907780000000001</v>
      </c>
      <c r="F637" s="1">
        <v>0.36875999999999998</v>
      </c>
      <c r="G637" s="1">
        <v>2.4267400000000001</v>
      </c>
      <c r="H637" s="1">
        <v>0.49048591180925</v>
      </c>
      <c r="I637" s="1">
        <v>0.22994999999999999</v>
      </c>
      <c r="J637" s="1">
        <v>229419072010.83099</v>
      </c>
      <c r="K637" s="1">
        <v>957736671495</v>
      </c>
      <c r="L637" s="1">
        <v>4164916354665</v>
      </c>
      <c r="M637" s="1">
        <v>-20779025794.209801</v>
      </c>
      <c r="N637" s="1">
        <v>2089160262859.54</v>
      </c>
      <c r="O637" s="1">
        <v>4243411710.6948199</v>
      </c>
      <c r="P637" s="1">
        <v>620896569010</v>
      </c>
      <c r="Q637" s="1">
        <v>1629014693660</v>
      </c>
      <c r="R637" s="1">
        <v>671278022165</v>
      </c>
      <c r="S637" s="1">
        <v>47906729987.125198</v>
      </c>
      <c r="T637" s="1">
        <v>3.8940000000000002E-2</v>
      </c>
      <c r="U637">
        <f t="shared" si="63"/>
        <v>0.45237826283108284</v>
      </c>
      <c r="V637">
        <f t="shared" si="64"/>
        <v>-3.4451344034210023</v>
      </c>
      <c r="W637">
        <f t="shared" si="65"/>
        <v>0.47559373945831002</v>
      </c>
      <c r="X637">
        <f t="shared" si="66"/>
        <v>1</v>
      </c>
      <c r="Y637">
        <f t="shared" si="67"/>
        <v>0</v>
      </c>
      <c r="Z637">
        <f t="shared" si="68"/>
        <v>0</v>
      </c>
      <c r="AA637">
        <f t="shared" si="69"/>
        <v>0</v>
      </c>
    </row>
    <row r="638" spans="1:27" x14ac:dyDescent="0.35">
      <c r="A638" s="1">
        <v>-5.37225437096573</v>
      </c>
      <c r="B638" s="1">
        <v>-7.1774652789332301</v>
      </c>
      <c r="C638" s="1">
        <v>-1.6158486665737999E-2</v>
      </c>
      <c r="D638" s="1">
        <v>1.8664700000000001</v>
      </c>
      <c r="E638" s="1">
        <v>1.4420200000000001</v>
      </c>
      <c r="F638" s="1">
        <v>-0.98526999999999998</v>
      </c>
      <c r="G638" s="1">
        <v>2.0154899999999998</v>
      </c>
      <c r="H638" s="1">
        <v>0.63274055821011199</v>
      </c>
      <c r="I638" s="1">
        <v>0.19338</v>
      </c>
      <c r="J638" s="1">
        <v>1095105560286.6801</v>
      </c>
      <c r="K638" s="1">
        <v>711543353640</v>
      </c>
      <c r="L638" s="1">
        <v>3679500690240</v>
      </c>
      <c r="M638" s="1">
        <v>-145712994091.668</v>
      </c>
      <c r="N638" s="1">
        <v>2481740409913.0498</v>
      </c>
      <c r="O638" s="1">
        <v>-210711018785.845</v>
      </c>
      <c r="P638" s="1">
        <v>53059147080</v>
      </c>
      <c r="Q638" s="1">
        <v>1412236342560</v>
      </c>
      <c r="R638" s="1">
        <v>700692988920</v>
      </c>
      <c r="S638" s="1">
        <v>-63376954110.294403</v>
      </c>
      <c r="T638" s="1">
        <v>-1.478E-2</v>
      </c>
      <c r="U638">
        <f t="shared" si="63"/>
        <v>0.27884344982256759</v>
      </c>
      <c r="V638">
        <f t="shared" si="64"/>
        <v>-3.952045006298492</v>
      </c>
      <c r="W638">
        <f t="shared" si="65"/>
        <v>0.31652978020822087</v>
      </c>
      <c r="X638">
        <f t="shared" si="66"/>
        <v>1</v>
      </c>
      <c r="Y638">
        <f t="shared" si="67"/>
        <v>0</v>
      </c>
      <c r="Z638">
        <f t="shared" si="68"/>
        <v>0</v>
      </c>
      <c r="AA638">
        <f t="shared" si="69"/>
        <v>0</v>
      </c>
    </row>
    <row r="639" spans="1:27" x14ac:dyDescent="0.35">
      <c r="A639" s="1">
        <v>-9.7945544821769595</v>
      </c>
      <c r="B639" s="1">
        <v>-14.0692393179317</v>
      </c>
      <c r="C639" s="1">
        <v>-4.6418264621598003E-2</v>
      </c>
      <c r="D639" s="1">
        <v>16.28294</v>
      </c>
      <c r="E639" s="1">
        <v>10.13608</v>
      </c>
      <c r="F639" s="1">
        <v>-7.4814699999999998</v>
      </c>
      <c r="G639" s="1">
        <v>1.411</v>
      </c>
      <c r="H639" s="1">
        <v>0.792078511274798</v>
      </c>
      <c r="I639" s="1">
        <v>0.11676</v>
      </c>
      <c r="J639" s="1">
        <v>270765656438.25601</v>
      </c>
      <c r="K639" s="1">
        <v>494164740420</v>
      </c>
      <c r="L639" s="1">
        <v>4232151954000</v>
      </c>
      <c r="M639" s="1">
        <v>-499911708521.03497</v>
      </c>
      <c r="N639" s="1">
        <v>3133325024086.4702</v>
      </c>
      <c r="O639" s="1">
        <v>-387455564340.341</v>
      </c>
      <c r="P639" s="1">
        <v>428974474680</v>
      </c>
      <c r="Q639" s="1">
        <v>1696516551090</v>
      </c>
      <c r="R639" s="1">
        <v>1202351810670</v>
      </c>
      <c r="S639" s="1">
        <v>-183622593017.24899</v>
      </c>
      <c r="T639" s="1">
        <v>-0.10700999999999999</v>
      </c>
      <c r="U639">
        <f t="shared" si="63"/>
        <v>8.7988668939874559E-3</v>
      </c>
      <c r="V639">
        <f t="shared" si="64"/>
        <v>-3.3046220384988394</v>
      </c>
      <c r="W639">
        <f t="shared" si="65"/>
        <v>0.10050534386148814</v>
      </c>
      <c r="X639">
        <f t="shared" si="66"/>
        <v>1</v>
      </c>
      <c r="Y639">
        <f t="shared" si="67"/>
        <v>0</v>
      </c>
      <c r="Z639">
        <f t="shared" si="68"/>
        <v>0</v>
      </c>
      <c r="AA639">
        <f t="shared" si="69"/>
        <v>0</v>
      </c>
    </row>
    <row r="640" spans="1:27" x14ac:dyDescent="0.35">
      <c r="A640" s="1">
        <v>-12.444150679235801</v>
      </c>
      <c r="B640" s="1">
        <v>-20.268035640280999</v>
      </c>
      <c r="C640" s="1">
        <v>-9.1071468048162005E-2</v>
      </c>
      <c r="D640" s="1">
        <v>14.53375</v>
      </c>
      <c r="E640" s="1">
        <v>8.8256700000000006</v>
      </c>
      <c r="F640" s="1">
        <v>-11.458320000000001</v>
      </c>
      <c r="G640" s="1">
        <v>1.2778400000000001</v>
      </c>
      <c r="H640" s="1">
        <v>0.53396492606296897</v>
      </c>
      <c r="I640" s="1">
        <v>8.3989999999999995E-2</v>
      </c>
      <c r="J640" s="1">
        <v>95227125467.416702</v>
      </c>
      <c r="K640" s="1">
        <v>373559905920</v>
      </c>
      <c r="L640" s="1">
        <v>4447617632640</v>
      </c>
      <c r="M640" s="1">
        <v>-650595937634.94299</v>
      </c>
      <c r="N640" s="1">
        <v>2317346262786.9199</v>
      </c>
      <c r="O640" s="1">
        <v>-540061802985.98401</v>
      </c>
      <c r="P640" s="1">
        <v>392532144640</v>
      </c>
      <c r="Q640" s="1">
        <v>1718092261120</v>
      </c>
      <c r="R640" s="1">
        <v>1344532355200</v>
      </c>
      <c r="S640" s="1">
        <v>-395239679287.54797</v>
      </c>
      <c r="T640" s="1">
        <v>-0.26989999999999997</v>
      </c>
      <c r="U640">
        <f t="shared" si="63"/>
        <v>-0.29725649740006788</v>
      </c>
      <c r="V640">
        <f t="shared" si="64"/>
        <v>-3.2454029022980615</v>
      </c>
      <c r="W640">
        <f t="shared" si="65"/>
        <v>-0.10885576218626734</v>
      </c>
      <c r="X640">
        <f t="shared" si="66"/>
        <v>1</v>
      </c>
      <c r="Y640">
        <f t="shared" si="67"/>
        <v>0</v>
      </c>
      <c r="Z640">
        <f t="shared" si="68"/>
        <v>1</v>
      </c>
      <c r="AA640">
        <f t="shared" si="69"/>
        <v>1</v>
      </c>
    </row>
    <row r="641" spans="1:27" x14ac:dyDescent="0.35">
      <c r="A641" s="1">
        <v>2.2260652734454E-2</v>
      </c>
      <c r="B641" s="1">
        <v>6.1266257399683E-2</v>
      </c>
      <c r="C641" s="1">
        <v>2.2070550415452E-2</v>
      </c>
      <c r="D641" s="1">
        <v>12.10901</v>
      </c>
      <c r="E641" s="1">
        <v>7.61104</v>
      </c>
      <c r="F641" s="1">
        <v>3.73034</v>
      </c>
      <c r="G641" s="1">
        <v>1.4027400000000001</v>
      </c>
      <c r="H641" s="1">
        <v>0.62887060037531295</v>
      </c>
      <c r="I641" s="1">
        <v>0.12973999999999999</v>
      </c>
      <c r="J641" s="1">
        <v>248684064897.98901</v>
      </c>
      <c r="K641" s="1">
        <v>571521895300</v>
      </c>
      <c r="L641" s="1">
        <v>4404967787400</v>
      </c>
      <c r="M641" s="1">
        <v>71698264386.975494</v>
      </c>
      <c r="N641" s="1">
        <v>2783565353987.1499</v>
      </c>
      <c r="O641" s="1">
        <v>985321649.18801999</v>
      </c>
      <c r="P641" s="1">
        <v>335263943720</v>
      </c>
      <c r="Q641" s="1">
        <v>1990597915780</v>
      </c>
      <c r="R641" s="1">
        <v>1419076020480</v>
      </c>
      <c r="S641" s="1">
        <v>97690716410.0439</v>
      </c>
      <c r="T641" s="1">
        <v>-0.27295999999999998</v>
      </c>
      <c r="U641">
        <f t="shared" si="63"/>
        <v>0.48783406036228694</v>
      </c>
      <c r="V641">
        <f t="shared" si="64"/>
        <v>-3.8615662218167648</v>
      </c>
      <c r="W641">
        <f t="shared" si="65"/>
        <v>0.34657444245104685</v>
      </c>
      <c r="X641">
        <f t="shared" si="66"/>
        <v>1</v>
      </c>
      <c r="Y641">
        <f t="shared" si="67"/>
        <v>0</v>
      </c>
      <c r="Z641">
        <f t="shared" si="68"/>
        <v>0</v>
      </c>
      <c r="AA641">
        <f t="shared" si="69"/>
        <v>0</v>
      </c>
    </row>
    <row r="642" spans="1:27" x14ac:dyDescent="0.35">
      <c r="A642" s="1">
        <v>0.13054186977933799</v>
      </c>
      <c r="B642" s="1">
        <v>0.21724280462333101</v>
      </c>
      <c r="C642" s="1">
        <v>2.1754187634783002E-2</v>
      </c>
      <c r="D642" s="1">
        <v>23.35275</v>
      </c>
      <c r="E642" s="1">
        <v>14.072480000000001</v>
      </c>
      <c r="F642" s="1">
        <v>3.2639399999999998</v>
      </c>
      <c r="G642" s="1">
        <v>1.2533399999999999</v>
      </c>
      <c r="H642" s="1">
        <v>0.67302121751532396</v>
      </c>
      <c r="I642" s="1">
        <v>7.3050000000000004E-2</v>
      </c>
      <c r="J642" s="1">
        <v>363918348043.422</v>
      </c>
      <c r="K642" s="1">
        <v>375571098135</v>
      </c>
      <c r="L642" s="1">
        <v>5141459437620</v>
      </c>
      <c r="M642" s="1">
        <v>72684300221.0354</v>
      </c>
      <c r="N642" s="1">
        <v>3212474036952.2002</v>
      </c>
      <c r="O642" s="1">
        <v>6231042298.3324203</v>
      </c>
      <c r="P642" s="1">
        <v>723530717205</v>
      </c>
      <c r="Q642" s="1">
        <v>1858024348320</v>
      </c>
      <c r="R642" s="1">
        <v>1482453250185</v>
      </c>
      <c r="S642" s="1">
        <v>103837384547.444</v>
      </c>
      <c r="T642" s="1">
        <v>-0.25739000000000001</v>
      </c>
      <c r="U642">
        <f t="shared" ref="U642:U705" si="70">1.03*(K642/L642) + 3.07*(S642/L642) + 0.66*(M642/R642) +0.4*(N642/L642)</f>
        <v>0.41952763915388486</v>
      </c>
      <c r="V642">
        <f t="shared" ref="V642:V705" si="71">-4.3-4.5*(O642/L642)+5.7*(P642/L642)+0.004*(Q642/R642)</f>
        <v>-3.4983090553386313</v>
      </c>
      <c r="W642">
        <f t="shared" ref="W642:W705" si="72">0.057+1.65*(K642/L642)+3.404*(S642/L642)+0.016*(O642/L642)</f>
        <v>0.24629536980837211</v>
      </c>
      <c r="X642">
        <f t="shared" si="66"/>
        <v>1</v>
      </c>
      <c r="Y642">
        <f t="shared" si="67"/>
        <v>0</v>
      </c>
      <c r="Z642">
        <f t="shared" si="68"/>
        <v>0</v>
      </c>
      <c r="AA642">
        <f t="shared" si="69"/>
        <v>0</v>
      </c>
    </row>
    <row r="643" spans="1:27" x14ac:dyDescent="0.35">
      <c r="A643" s="1">
        <v>0.14232684953726599</v>
      </c>
      <c r="B643" s="1">
        <v>0.227655541689676</v>
      </c>
      <c r="C643" s="1">
        <v>1.1921090786737001E-2</v>
      </c>
      <c r="D643" s="1">
        <v>22.523869999999999</v>
      </c>
      <c r="E643" s="1">
        <v>13.29731</v>
      </c>
      <c r="F643" s="1">
        <v>0.97087999999999997</v>
      </c>
      <c r="G643" s="1">
        <v>1.0273300000000001</v>
      </c>
      <c r="H643" s="1">
        <v>0.67061130082406095</v>
      </c>
      <c r="I643" s="1">
        <v>8.9999999999999993E-3</v>
      </c>
      <c r="J643" s="1">
        <v>604116036790.57202</v>
      </c>
      <c r="K643" s="1">
        <v>46238900040</v>
      </c>
      <c r="L643" s="1">
        <v>5136645826350</v>
      </c>
      <c r="M643" s="1">
        <v>36776431084.128098</v>
      </c>
      <c r="N643" s="1">
        <v>3446306770538.77</v>
      </c>
      <c r="O643" s="1">
        <v>7314251707.1662102</v>
      </c>
      <c r="P643" s="1">
        <v>683035749750</v>
      </c>
      <c r="Q643" s="1">
        <v>1738285625310</v>
      </c>
      <c r="R643" s="1">
        <v>1692046725270</v>
      </c>
      <c r="S643" s="1">
        <v>61263112983.713898</v>
      </c>
      <c r="T643" s="1">
        <v>-0.25083</v>
      </c>
      <c r="U643">
        <f t="shared" si="70"/>
        <v>0.32860194716677882</v>
      </c>
      <c r="V643">
        <f t="shared" si="71"/>
        <v>-3.5443516964149127</v>
      </c>
      <c r="W643">
        <f t="shared" si="72"/>
        <v>0.11247410884903412</v>
      </c>
      <c r="X643">
        <f t="shared" ref="X643:X706" si="73">IF(U643&gt;=0.862,0,1)</f>
        <v>1</v>
      </c>
      <c r="Y643">
        <f t="shared" ref="Y643:Y706" si="74">IF(V643&lt;=0,0,1)</f>
        <v>0</v>
      </c>
      <c r="Z643">
        <f t="shared" ref="Z643:Z706" si="75">IF(W643&gt;=0.01,0,1)</f>
        <v>0</v>
      </c>
      <c r="AA643">
        <f t="shared" ref="AA643:AA706" si="76">IF(SUM(X643:Z643)&gt;=2,1,0)</f>
        <v>0</v>
      </c>
    </row>
    <row r="644" spans="1:27" x14ac:dyDescent="0.35">
      <c r="A644" s="1">
        <v>0.69999620888546799</v>
      </c>
      <c r="B644" s="1">
        <v>1.20788501742274</v>
      </c>
      <c r="C644" s="1">
        <v>4.1249115743621001E-2</v>
      </c>
      <c r="D644" s="1">
        <v>17.076000000000001</v>
      </c>
      <c r="E644" s="1">
        <v>9.6707000000000001</v>
      </c>
      <c r="F644" s="1">
        <v>3.2855599999999998</v>
      </c>
      <c r="G644" s="1">
        <v>0.83523000000000003</v>
      </c>
      <c r="H644" s="1">
        <v>0.61373816907772605</v>
      </c>
      <c r="I644" s="1">
        <v>-5.7770000000000002E-2</v>
      </c>
      <c r="J644" s="1">
        <v>-2239002565.2858</v>
      </c>
      <c r="K644" s="1">
        <v>-314869382805</v>
      </c>
      <c r="L644" s="1">
        <v>5450419034750</v>
      </c>
      <c r="M644" s="1">
        <v>144888090131.45801</v>
      </c>
      <c r="N644" s="1">
        <v>3248842901879.3198</v>
      </c>
      <c r="O644" s="1">
        <v>37054526329.972702</v>
      </c>
      <c r="P644" s="1">
        <v>527093509375</v>
      </c>
      <c r="Q644" s="1">
        <v>1596063746515</v>
      </c>
      <c r="R644" s="1">
        <v>1910933129320</v>
      </c>
      <c r="S644" s="1">
        <v>218353531920.36801</v>
      </c>
      <c r="T644" s="1">
        <v>-0.23205000000000001</v>
      </c>
      <c r="U644">
        <f t="shared" si="70"/>
        <v>0.35195728672382809</v>
      </c>
      <c r="V644">
        <f t="shared" si="71"/>
        <v>-3.7760224902988879</v>
      </c>
      <c r="W644">
        <f t="shared" si="72"/>
        <v>9.8159003008702062E-2</v>
      </c>
      <c r="X644">
        <f t="shared" si="73"/>
        <v>1</v>
      </c>
      <c r="Y644">
        <f t="shared" si="74"/>
        <v>0</v>
      </c>
      <c r="Z644">
        <f t="shared" si="75"/>
        <v>0</v>
      </c>
      <c r="AA644">
        <f t="shared" si="76"/>
        <v>0</v>
      </c>
    </row>
    <row r="645" spans="1:27" x14ac:dyDescent="0.35">
      <c r="A645" s="1">
        <v>0.63927163149621702</v>
      </c>
      <c r="B645" s="1">
        <v>1.13595657349993</v>
      </c>
      <c r="C645" s="1">
        <v>1.6335479743556001E-2</v>
      </c>
      <c r="D645" s="1">
        <v>7.9935200000000002</v>
      </c>
      <c r="E645" s="1">
        <v>4.4445800000000002</v>
      </c>
      <c r="F645" s="1">
        <v>1.7281500000000001</v>
      </c>
      <c r="G645" s="1">
        <v>0.79513</v>
      </c>
      <c r="H645" s="1">
        <v>0.68802310079109497</v>
      </c>
      <c r="I645" s="1">
        <v>-6.7650000000000002E-2</v>
      </c>
      <c r="J645" s="1">
        <v>257051528967.34601</v>
      </c>
      <c r="K645" s="1">
        <v>-403669032500</v>
      </c>
      <c r="L645" s="1">
        <v>5967039960000</v>
      </c>
      <c r="M645" s="1">
        <v>96912463710.9319</v>
      </c>
      <c r="N645" s="1">
        <v>3927737770361.54</v>
      </c>
      <c r="O645" s="1">
        <v>36494288195.574898</v>
      </c>
      <c r="P645" s="1">
        <v>265209909375</v>
      </c>
      <c r="Q645" s="1">
        <v>1566666720625</v>
      </c>
      <c r="R645" s="1">
        <v>1970335753125</v>
      </c>
      <c r="S645" s="1">
        <v>93254835065.808594</v>
      </c>
      <c r="T645" s="1">
        <v>-0.21681</v>
      </c>
      <c r="U645">
        <f t="shared" si="70"/>
        <v>0.27405782510433635</v>
      </c>
      <c r="V645">
        <f t="shared" si="71"/>
        <v>-4.0710002934842171</v>
      </c>
      <c r="W645">
        <f t="shared" si="72"/>
        <v>-1.3254911619291958E-3</v>
      </c>
      <c r="X645">
        <f t="shared" si="73"/>
        <v>1</v>
      </c>
      <c r="Y645">
        <f t="shared" si="74"/>
        <v>0</v>
      </c>
      <c r="Z645">
        <f t="shared" si="75"/>
        <v>1</v>
      </c>
      <c r="AA645">
        <f t="shared" si="76"/>
        <v>1</v>
      </c>
    </row>
    <row r="646" spans="1:27" x14ac:dyDescent="0.35">
      <c r="A646" s="1">
        <v>0.78483716172464801</v>
      </c>
      <c r="B646" s="1">
        <v>1.6212138472376501</v>
      </c>
      <c r="C646" s="1">
        <v>1.6268723013585999E-2</v>
      </c>
      <c r="D646" s="1">
        <v>52.465980000000002</v>
      </c>
      <c r="E646" s="1">
        <v>22.36656</v>
      </c>
      <c r="F646" s="1">
        <v>1.24535</v>
      </c>
      <c r="G646" s="1">
        <v>1.0116400000000001</v>
      </c>
      <c r="H646" s="1">
        <v>0.71672930219583098</v>
      </c>
      <c r="I646" s="1">
        <v>4.1700000000000001E-3</v>
      </c>
      <c r="J646" s="1">
        <v>-230507137871.66299</v>
      </c>
      <c r="K646" s="1">
        <v>31829033040</v>
      </c>
      <c r="L646">
        <v>7627318126360</v>
      </c>
      <c r="M646">
        <v>56648934822.615799</v>
      </c>
      <c r="N646">
        <v>4871737392518.5303</v>
      </c>
      <c r="O646" s="1">
        <v>53346787079.836502</v>
      </c>
      <c r="P646">
        <v>1705968605880</v>
      </c>
      <c r="Q646">
        <v>2766729575760</v>
      </c>
      <c r="R646">
        <v>2734900542720</v>
      </c>
      <c r="S646">
        <v>110581423127.24899</v>
      </c>
      <c r="T646">
        <v>-0.15748999999999999</v>
      </c>
      <c r="U646">
        <f t="shared" si="70"/>
        <v>0.31796699475456125</v>
      </c>
      <c r="V646">
        <f t="shared" si="71"/>
        <v>-3.0525333680394615</v>
      </c>
      <c r="W646">
        <f t="shared" si="72"/>
        <v>0.11334885162965437</v>
      </c>
      <c r="X646">
        <f t="shared" si="73"/>
        <v>1</v>
      </c>
      <c r="Y646">
        <f t="shared" si="74"/>
        <v>0</v>
      </c>
      <c r="Z646">
        <f t="shared" si="75"/>
        <v>0</v>
      </c>
      <c r="AA646">
        <f t="shared" si="76"/>
        <v>0</v>
      </c>
    </row>
    <row r="647" spans="1:27" x14ac:dyDescent="0.35">
      <c r="A647" s="1">
        <v>0.31135955366684098</v>
      </c>
      <c r="B647" s="1">
        <v>0.67702454699988202</v>
      </c>
      <c r="C647" s="1">
        <v>-6.2215189699459999E-3</v>
      </c>
      <c r="D647" s="1">
        <v>38.716630000000002</v>
      </c>
      <c r="E647" s="1">
        <v>18.9421</v>
      </c>
      <c r="F647" s="1">
        <v>-0.38162000000000001</v>
      </c>
      <c r="G647" s="1">
        <v>1.1153299999999999</v>
      </c>
      <c r="H647" s="1">
        <v>0.57286948280418304</v>
      </c>
      <c r="I647" s="1">
        <v>4.1439999999999998E-2</v>
      </c>
      <c r="J647" s="1">
        <v>609170248655.81494</v>
      </c>
      <c r="K647" s="1">
        <v>320348545920</v>
      </c>
      <c r="L647">
        <v>7730979478560</v>
      </c>
      <c r="M647">
        <v>3341216678.0218</v>
      </c>
      <c r="N647">
        <v>4399150002841.6201</v>
      </c>
      <c r="O647" s="1">
        <v>23909763436.751999</v>
      </c>
      <c r="P647">
        <v>1464410216880</v>
      </c>
      <c r="Q647">
        <v>3098105248680</v>
      </c>
      <c r="R647">
        <v>2777756702760</v>
      </c>
      <c r="S647">
        <v>-47775969947.542</v>
      </c>
      <c r="T647">
        <v>-9.2499999999999999E-2</v>
      </c>
      <c r="U647">
        <f t="shared" si="70"/>
        <v>0.25211349275683609</v>
      </c>
      <c r="V647">
        <f t="shared" si="71"/>
        <v>-3.2297559792729467</v>
      </c>
      <c r="W647">
        <f t="shared" si="72"/>
        <v>0.10438445578564499</v>
      </c>
      <c r="X647">
        <f t="shared" si="73"/>
        <v>1</v>
      </c>
      <c r="Y647">
        <f t="shared" si="74"/>
        <v>0</v>
      </c>
      <c r="Z647">
        <f t="shared" si="75"/>
        <v>0</v>
      </c>
      <c r="AA647">
        <f t="shared" si="76"/>
        <v>0</v>
      </c>
    </row>
    <row r="648" spans="1:27" x14ac:dyDescent="0.35">
      <c r="A648" s="1">
        <v>0.20320622260187601</v>
      </c>
      <c r="B648" s="1">
        <v>0.43798121875391299</v>
      </c>
      <c r="C648" s="1">
        <v>4.1289586995505001E-2</v>
      </c>
      <c r="D648" s="1">
        <v>40.799230000000001</v>
      </c>
      <c r="E648" s="1">
        <v>17.717960000000001</v>
      </c>
      <c r="F648" s="1">
        <v>2.5686300000000002</v>
      </c>
      <c r="G648" s="1">
        <v>0.66390000000000005</v>
      </c>
      <c r="H648" s="1">
        <v>0.60043396801002902</v>
      </c>
      <c r="I648" s="1">
        <v>-0.13227</v>
      </c>
      <c r="J648" s="1">
        <v>963366736845.354</v>
      </c>
      <c r="K648" s="1">
        <v>-1009236951000</v>
      </c>
      <c r="L648">
        <v>7630161494000</v>
      </c>
      <c r="M648">
        <v>137509183496.00299</v>
      </c>
      <c r="N648">
        <v>4611675413657.8203</v>
      </c>
      <c r="O648" s="1">
        <v>15607397159.444099</v>
      </c>
      <c r="P648">
        <v>1351908874000</v>
      </c>
      <c r="Q648">
        <v>1993551399000</v>
      </c>
      <c r="R648">
        <v>3002788350000</v>
      </c>
      <c r="S648">
        <v>317127583268.36499</v>
      </c>
      <c r="T648">
        <v>-0.11965000000000001</v>
      </c>
      <c r="U648">
        <f t="shared" si="70"/>
        <v>0.26334321303754676</v>
      </c>
      <c r="V648">
        <f t="shared" si="71"/>
        <v>-3.2966254371371311</v>
      </c>
      <c r="W648">
        <f t="shared" si="72"/>
        <v>-1.9733494803528782E-2</v>
      </c>
      <c r="X648">
        <f t="shared" si="73"/>
        <v>1</v>
      </c>
      <c r="Y648">
        <f t="shared" si="74"/>
        <v>0</v>
      </c>
      <c r="Z648">
        <f t="shared" si="75"/>
        <v>1</v>
      </c>
      <c r="AA648">
        <f t="shared" si="76"/>
        <v>1</v>
      </c>
    </row>
    <row r="649" spans="1:27" x14ac:dyDescent="0.35">
      <c r="A649" s="1">
        <v>-3.18466499848107</v>
      </c>
      <c r="B649" s="1">
        <v>-7.61463943143678</v>
      </c>
      <c r="C649" s="1">
        <v>-2.9145761702852001E-2</v>
      </c>
      <c r="D649" s="1">
        <v>34.6892</v>
      </c>
      <c r="E649" s="1">
        <v>14.00484</v>
      </c>
      <c r="F649" s="1">
        <v>-1.2532700000000001</v>
      </c>
      <c r="G649" s="1">
        <v>0.59567999999999999</v>
      </c>
      <c r="H649" s="1">
        <v>0.77706145684275896</v>
      </c>
      <c r="I649" s="1">
        <v>-0.19084000000000001</v>
      </c>
      <c r="J649" s="1">
        <v>243701015000</v>
      </c>
      <c r="K649" s="1">
        <v>-1524636990000</v>
      </c>
      <c r="L649">
        <v>7988939926000</v>
      </c>
      <c r="M649">
        <v>-249887696000</v>
      </c>
      <c r="N649">
        <v>6068500852000</v>
      </c>
      <c r="O649" s="1">
        <v>-248708028000</v>
      </c>
      <c r="P649">
        <v>1118838084000</v>
      </c>
      <c r="Q649">
        <v>2246264866000</v>
      </c>
      <c r="R649">
        <v>3770901856000</v>
      </c>
      <c r="S649">
        <v>-227615304000</v>
      </c>
      <c r="T649">
        <v>-0.14555999999999999</v>
      </c>
      <c r="U649">
        <f t="shared" si="70"/>
        <v>-2.3928412977970048E-2</v>
      </c>
      <c r="V649">
        <f t="shared" si="71"/>
        <v>-3.3592495624692957</v>
      </c>
      <c r="W649">
        <f t="shared" si="72"/>
        <v>-0.35537421826671522</v>
      </c>
      <c r="X649">
        <f t="shared" si="73"/>
        <v>1</v>
      </c>
      <c r="Y649">
        <f t="shared" si="74"/>
        <v>0</v>
      </c>
      <c r="Z649">
        <f t="shared" si="75"/>
        <v>1</v>
      </c>
      <c r="AA649">
        <f t="shared" si="76"/>
        <v>1</v>
      </c>
    </row>
    <row r="650" spans="1:27" x14ac:dyDescent="0.35">
      <c r="A650" s="1">
        <v>0.43772130237558499</v>
      </c>
      <c r="B650" s="1">
        <v>1.0836307377646399</v>
      </c>
      <c r="C650" s="1">
        <v>2.4499988898158999E-2</v>
      </c>
      <c r="D650" s="1">
        <v>18.80078</v>
      </c>
      <c r="E650" s="1">
        <v>7.5994799999999998</v>
      </c>
      <c r="F650" s="1">
        <v>1.32911</v>
      </c>
      <c r="G650" s="1">
        <v>0.69337000000000004</v>
      </c>
      <c r="H650" s="1">
        <v>0.91435109792316305</v>
      </c>
      <c r="I650" s="1">
        <v>-0.15797</v>
      </c>
      <c r="J650" s="1">
        <v>1109832247000</v>
      </c>
      <c r="K650" s="1">
        <v>-1285496894000</v>
      </c>
      <c r="L650">
        <v>8137619055000</v>
      </c>
      <c r="M650">
        <v>32536473000</v>
      </c>
      <c r="N650">
        <v>7372668455000</v>
      </c>
      <c r="O650" s="1">
        <v>35294692000</v>
      </c>
      <c r="P650">
        <v>618416821000</v>
      </c>
      <c r="Q650">
        <v>2906789518000</v>
      </c>
      <c r="R650">
        <v>4192286412000</v>
      </c>
      <c r="S650">
        <v>197550258000</v>
      </c>
      <c r="T650">
        <v>-0.13439000000000001</v>
      </c>
      <c r="U650">
        <f t="shared" si="70"/>
        <v>0.27934068127939621</v>
      </c>
      <c r="V650">
        <f t="shared" si="71"/>
        <v>-3.8835736299035868</v>
      </c>
      <c r="W650">
        <f t="shared" si="72"/>
        <v>-0.12094444198100893</v>
      </c>
      <c r="X650">
        <f t="shared" si="73"/>
        <v>1</v>
      </c>
      <c r="Y650">
        <f t="shared" si="74"/>
        <v>0</v>
      </c>
      <c r="Z650">
        <f t="shared" si="75"/>
        <v>1</v>
      </c>
      <c r="AA650">
        <f t="shared" si="76"/>
        <v>1</v>
      </c>
    </row>
    <row r="651" spans="1:27" x14ac:dyDescent="0.35">
      <c r="A651" s="1">
        <v>0.19305860281199499</v>
      </c>
      <c r="B651" s="1">
        <v>0.49464078037915299</v>
      </c>
      <c r="C651" s="1">
        <v>1.6464740883058E-2</v>
      </c>
      <c r="D651" s="1">
        <v>54.185929999999999</v>
      </c>
      <c r="E651" s="1">
        <v>20.371569999999998</v>
      </c>
      <c r="F651" s="1">
        <v>1.8204100000000001</v>
      </c>
      <c r="G651" s="1">
        <v>0.76231000000000004</v>
      </c>
      <c r="H651" s="1">
        <v>0.71198841586862704</v>
      </c>
      <c r="I651" s="1">
        <v>-9.7549999999999998E-2</v>
      </c>
      <c r="J651" s="1">
        <v>613281148000</v>
      </c>
      <c r="K651" s="1">
        <v>-859092955000</v>
      </c>
      <c r="L651">
        <v>8806355222000</v>
      </c>
      <c r="M651">
        <v>56190686000</v>
      </c>
      <c r="N651">
        <v>6031956702000</v>
      </c>
      <c r="O651" s="1">
        <v>16355900000</v>
      </c>
      <c r="P651">
        <v>1793993096000</v>
      </c>
      <c r="Q651">
        <v>2755266793000</v>
      </c>
      <c r="R651">
        <v>3614359748000</v>
      </c>
      <c r="S651">
        <v>139489073000</v>
      </c>
      <c r="T651">
        <v>-0.12175</v>
      </c>
      <c r="U651">
        <f t="shared" si="70"/>
        <v>0.23238986941334866</v>
      </c>
      <c r="V651">
        <f t="shared" si="71"/>
        <v>-3.1441288623660553</v>
      </c>
      <c r="W651">
        <f t="shared" si="72"/>
        <v>-5.0015996186895582E-2</v>
      </c>
      <c r="X651">
        <f t="shared" si="73"/>
        <v>1</v>
      </c>
      <c r="Y651">
        <f t="shared" si="74"/>
        <v>0</v>
      </c>
      <c r="Z651">
        <f t="shared" si="75"/>
        <v>1</v>
      </c>
      <c r="AA651">
        <f t="shared" si="76"/>
        <v>1</v>
      </c>
    </row>
    <row r="652" spans="1:27" x14ac:dyDescent="0.35">
      <c r="A652" s="1" t="s">
        <v>3</v>
      </c>
      <c r="B652" s="1" t="s">
        <v>3</v>
      </c>
      <c r="C652" s="1" t="s">
        <v>3</v>
      </c>
      <c r="D652" s="1" t="s">
        <v>3</v>
      </c>
      <c r="E652" s="1" t="s">
        <v>3</v>
      </c>
      <c r="F652" s="1" t="s">
        <v>3</v>
      </c>
      <c r="G652" s="1" t="s">
        <v>3</v>
      </c>
      <c r="H652" s="1" t="s">
        <v>3</v>
      </c>
      <c r="I652" s="1" t="s">
        <v>3</v>
      </c>
      <c r="J652" s="1" t="s">
        <v>3</v>
      </c>
      <c r="K652" s="1" t="s">
        <v>3</v>
      </c>
      <c r="L652" s="1" t="s">
        <v>3</v>
      </c>
      <c r="M652" s="1" t="s">
        <v>3</v>
      </c>
      <c r="N652" s="1" t="s">
        <v>3</v>
      </c>
      <c r="O652" s="1" t="s">
        <v>3</v>
      </c>
      <c r="P652" s="1" t="s">
        <v>3</v>
      </c>
      <c r="Q652" s="1" t="s">
        <v>3</v>
      </c>
      <c r="R652" s="1" t="s">
        <v>3</v>
      </c>
      <c r="S652" s="1" t="s">
        <v>3</v>
      </c>
      <c r="T652" s="1" t="s">
        <v>3</v>
      </c>
      <c r="U652" t="e">
        <f t="shared" si="70"/>
        <v>#VALUE!</v>
      </c>
      <c r="V652" t="e">
        <f t="shared" si="71"/>
        <v>#VALUE!</v>
      </c>
      <c r="W652" t="e">
        <f t="shared" si="72"/>
        <v>#VALUE!</v>
      </c>
      <c r="X652" t="e">
        <f t="shared" si="73"/>
        <v>#VALUE!</v>
      </c>
      <c r="Y652" t="e">
        <f t="shared" si="74"/>
        <v>#VALUE!</v>
      </c>
      <c r="Z652" t="e">
        <f t="shared" si="75"/>
        <v>#VALUE!</v>
      </c>
      <c r="AA652" t="e">
        <f t="shared" si="76"/>
        <v>#VALUE!</v>
      </c>
    </row>
    <row r="653" spans="1:27" x14ac:dyDescent="0.35">
      <c r="A653" s="1">
        <v>3.5285333205857601</v>
      </c>
      <c r="B653" s="1">
        <v>10.758391765090201</v>
      </c>
      <c r="C653" s="1">
        <v>0.12030510088827</v>
      </c>
      <c r="D653" s="1">
        <v>82.795569999999998</v>
      </c>
      <c r="E653" s="1">
        <v>34.884779999999999</v>
      </c>
      <c r="F653" s="1">
        <v>3.2540800000000001</v>
      </c>
      <c r="G653" s="1">
        <v>0.82150999999999996</v>
      </c>
      <c r="H653" s="1">
        <v>0.53916985109245497</v>
      </c>
      <c r="I653" s="1">
        <v>-5.978E-2</v>
      </c>
      <c r="J653" s="1">
        <v>4996036.9319799999</v>
      </c>
      <c r="K653" s="1">
        <v>-2469522.5674999999</v>
      </c>
      <c r="L653">
        <v>41307706.469690003</v>
      </c>
      <c r="M653" s="1">
        <v>2518005.8645000001</v>
      </c>
      <c r="N653" s="1">
        <v>23823368.068769999</v>
      </c>
      <c r="O653" s="1">
        <v>1559092.1463599999</v>
      </c>
      <c r="P653" s="1">
        <v>14410101.6811</v>
      </c>
      <c r="Q653" s="1">
        <v>11365943.4539</v>
      </c>
      <c r="R653" s="1">
        <v>13835466.021400001</v>
      </c>
      <c r="S653" s="1">
        <v>5315713.9502600003</v>
      </c>
      <c r="T653" s="1">
        <v>9.9299999999999999E-2</v>
      </c>
      <c r="U653">
        <f t="shared" si="70"/>
        <v>0.68429764001482041</v>
      </c>
      <c r="V653">
        <f t="shared" si="71"/>
        <v>-2.478126800781653</v>
      </c>
      <c r="W653">
        <f t="shared" si="72"/>
        <v>0.3970073430597611</v>
      </c>
      <c r="X653">
        <f t="shared" si="73"/>
        <v>1</v>
      </c>
      <c r="Y653">
        <f t="shared" si="74"/>
        <v>0</v>
      </c>
      <c r="Z653">
        <f t="shared" si="75"/>
        <v>0</v>
      </c>
      <c r="AA653">
        <f t="shared" si="76"/>
        <v>0</v>
      </c>
    </row>
    <row r="654" spans="1:27" x14ac:dyDescent="0.35">
      <c r="A654" s="1">
        <v>7.2209667366383199</v>
      </c>
      <c r="B654" s="1">
        <v>13.7356810965624</v>
      </c>
      <c r="C654" s="1">
        <v>7.5192611153424002E-2</v>
      </c>
      <c r="D654" s="1">
        <v>32.691899999999997</v>
      </c>
      <c r="E654" s="1">
        <v>20.298110000000001</v>
      </c>
      <c r="F654" s="1">
        <v>3.06243</v>
      </c>
      <c r="G654" s="1">
        <v>1.4081300000000001</v>
      </c>
      <c r="H654" s="1">
        <v>0.514721230294787</v>
      </c>
      <c r="I654" s="1">
        <v>0.10322000000000001</v>
      </c>
      <c r="J654" s="1">
        <v>1797008.9064100001</v>
      </c>
      <c r="K654" s="1">
        <v>4675545.7378099998</v>
      </c>
      <c r="L654" s="1">
        <v>45296010.905850001</v>
      </c>
      <c r="M654" s="1">
        <v>2635351.1498199999</v>
      </c>
      <c r="N654" s="1">
        <v>22288385.977820002</v>
      </c>
      <c r="O654" s="1">
        <v>3126812.81219</v>
      </c>
      <c r="P654" s="1">
        <v>9194235.1435599998</v>
      </c>
      <c r="Q654" s="1">
        <v>16131539.172049999</v>
      </c>
      <c r="R654" s="1">
        <v>11455993.43423</v>
      </c>
      <c r="S654" s="1">
        <v>3255979.82253</v>
      </c>
      <c r="T654" s="1">
        <v>7.0419999999999996E-2</v>
      </c>
      <c r="U654">
        <f t="shared" si="70"/>
        <v>0.67564873473701048</v>
      </c>
      <c r="V654">
        <f t="shared" si="71"/>
        <v>-3.4480129760842297</v>
      </c>
      <c r="W654">
        <f t="shared" si="72"/>
        <v>0.47310805038550152</v>
      </c>
      <c r="X654">
        <f t="shared" si="73"/>
        <v>1</v>
      </c>
      <c r="Y654">
        <f t="shared" si="74"/>
        <v>0</v>
      </c>
      <c r="Z654">
        <f t="shared" si="75"/>
        <v>0</v>
      </c>
      <c r="AA654">
        <f t="shared" si="76"/>
        <v>0</v>
      </c>
    </row>
    <row r="655" spans="1:27" x14ac:dyDescent="0.35">
      <c r="A655" s="1">
        <v>0.54096651915476601</v>
      </c>
      <c r="B655" s="1">
        <v>1.0217198505469001</v>
      </c>
      <c r="C655" s="1">
        <v>3.1971022897888002E-2</v>
      </c>
      <c r="D655" s="1">
        <v>83.309730000000002</v>
      </c>
      <c r="E655" s="1">
        <v>38.159550000000003</v>
      </c>
      <c r="F655" s="1">
        <v>1.2294700000000001</v>
      </c>
      <c r="G655" s="1">
        <v>1.0453300000000001</v>
      </c>
      <c r="H655" s="1">
        <v>0.46031025209551202</v>
      </c>
      <c r="I655" s="1">
        <v>1.1730000000000001E-2</v>
      </c>
      <c r="J655" s="1">
        <v>-525798.24534000002</v>
      </c>
      <c r="K655" s="1">
        <v>680377.46273000003</v>
      </c>
      <c r="L655" s="1">
        <v>57981428.753990002</v>
      </c>
      <c r="M655" s="1">
        <v>817537.09979999997</v>
      </c>
      <c r="N655" s="1">
        <v>23769832.1428</v>
      </c>
      <c r="O655" s="1">
        <v>279348.18520000001</v>
      </c>
      <c r="P655" s="1">
        <v>22125450.692230001</v>
      </c>
      <c r="Q655" s="1">
        <v>15690469.26251</v>
      </c>
      <c r="R655" s="1">
        <v>15010091.799790001</v>
      </c>
      <c r="S655" s="1">
        <v>1650942.6941</v>
      </c>
      <c r="T655" s="1">
        <v>4.4179999999999997E-2</v>
      </c>
      <c r="U655">
        <f t="shared" si="70"/>
        <v>0.29943035985259625</v>
      </c>
      <c r="V655">
        <f t="shared" si="71"/>
        <v>-2.1424050037252238</v>
      </c>
      <c r="W655">
        <f t="shared" si="72"/>
        <v>0.17336314351290991</v>
      </c>
      <c r="X655">
        <f t="shared" si="73"/>
        <v>1</v>
      </c>
      <c r="Y655">
        <f t="shared" si="74"/>
        <v>0</v>
      </c>
      <c r="Z655">
        <f t="shared" si="75"/>
        <v>0</v>
      </c>
      <c r="AA655">
        <f t="shared" si="76"/>
        <v>0</v>
      </c>
    </row>
    <row r="656" spans="1:27" x14ac:dyDescent="0.35">
      <c r="A656" s="1">
        <v>-10.9150108072813</v>
      </c>
      <c r="B656" s="1">
        <v>-28.1698493618381</v>
      </c>
      <c r="C656" s="1">
        <v>-4.0889639352439E-2</v>
      </c>
      <c r="D656" s="1">
        <v>163.53130999999999</v>
      </c>
      <c r="E656" s="1">
        <v>51.341450000000002</v>
      </c>
      <c r="F656" s="1">
        <v>-0.68208999999999997</v>
      </c>
      <c r="G656" s="1">
        <v>0.61783999999999994</v>
      </c>
      <c r="H656" s="1">
        <v>0.53481310720443098</v>
      </c>
      <c r="I656" s="1">
        <v>-0.17596999999999999</v>
      </c>
      <c r="J656" s="1">
        <v>4820751.1625600001</v>
      </c>
      <c r="K656" s="1">
        <v>-9794254.7694899999</v>
      </c>
      <c r="L656" s="1">
        <v>55659851.059909999</v>
      </c>
      <c r="M656" s="1">
        <v>-9468246.4931000005</v>
      </c>
      <c r="N656" s="1">
        <v>30388422.98198</v>
      </c>
      <c r="O656" s="1">
        <v>-6201978.98661</v>
      </c>
      <c r="P656" s="1">
        <v>28576576.313359998</v>
      </c>
      <c r="Q656" s="1">
        <v>15834432.23512</v>
      </c>
      <c r="R656" s="1">
        <v>25628687.004609998</v>
      </c>
      <c r="S656" s="1">
        <v>-2323375.4735699999</v>
      </c>
      <c r="T656" s="1">
        <v>-5.9159999999999997E-2</v>
      </c>
      <c r="U656">
        <f t="shared" si="70"/>
        <v>-0.33483771349395525</v>
      </c>
      <c r="V656">
        <f t="shared" si="71"/>
        <v>-0.86964683957069855</v>
      </c>
      <c r="W656">
        <f t="shared" si="72"/>
        <v>-0.37721823244662522</v>
      </c>
      <c r="X656">
        <f t="shared" si="73"/>
        <v>1</v>
      </c>
      <c r="Y656">
        <f t="shared" si="74"/>
        <v>0</v>
      </c>
      <c r="Z656">
        <f t="shared" si="75"/>
        <v>1</v>
      </c>
      <c r="AA656">
        <f t="shared" si="76"/>
        <v>1</v>
      </c>
    </row>
    <row r="657" spans="1:27" x14ac:dyDescent="0.35">
      <c r="A657" s="1">
        <v>-5.8171364419262597</v>
      </c>
      <c r="B657" s="1">
        <v>-17.998632393220099</v>
      </c>
      <c r="C657" s="1">
        <v>-6.7880091793263E-2</v>
      </c>
      <c r="D657" s="1">
        <v>149.63239999999999</v>
      </c>
      <c r="E657" s="1">
        <v>49.651060000000001</v>
      </c>
      <c r="F657" s="1">
        <v>-1.24393</v>
      </c>
      <c r="G657" s="1">
        <v>0.83501999999999998</v>
      </c>
      <c r="H657" s="1">
        <v>0.40042439566764099</v>
      </c>
      <c r="I657" s="1">
        <v>-5.5390000000000002E-2</v>
      </c>
      <c r="J657" s="1">
        <v>-2832338.0928000002</v>
      </c>
      <c r="K657" s="1">
        <v>-3305757.39586</v>
      </c>
      <c r="L657" s="1">
        <v>59678294.798299998</v>
      </c>
      <c r="M657" s="1">
        <v>-4086620.4856500002</v>
      </c>
      <c r="N657" s="1">
        <v>23092103.676350001</v>
      </c>
      <c r="O657" s="1">
        <v>-3354688.6570799998</v>
      </c>
      <c r="P657" s="1">
        <v>29630908.811039999</v>
      </c>
      <c r="Q657" s="1">
        <v>16731617.65722</v>
      </c>
      <c r="R657" s="1">
        <v>20037375.05308</v>
      </c>
      <c r="S657" s="1">
        <v>-3914581.9640600001</v>
      </c>
      <c r="T657" s="1">
        <v>-0.12540999999999999</v>
      </c>
      <c r="U657">
        <f t="shared" si="70"/>
        <v>-0.23826028062503657</v>
      </c>
      <c r="V657">
        <f t="shared" si="71"/>
        <v>-1.213591278280749</v>
      </c>
      <c r="W657">
        <f t="shared" si="72"/>
        <v>-0.25858226975143084</v>
      </c>
      <c r="X657">
        <f t="shared" si="73"/>
        <v>1</v>
      </c>
      <c r="Y657">
        <f t="shared" si="74"/>
        <v>0</v>
      </c>
      <c r="Z657">
        <f t="shared" si="75"/>
        <v>1</v>
      </c>
      <c r="AA657">
        <f t="shared" si="76"/>
        <v>1</v>
      </c>
    </row>
    <row r="658" spans="1:27" x14ac:dyDescent="0.35">
      <c r="A658" s="1">
        <v>-6.9501072737729199</v>
      </c>
      <c r="B658" s="1">
        <v>-21.874664280254699</v>
      </c>
      <c r="C658" s="1">
        <v>-5.0638058454574003E-2</v>
      </c>
      <c r="D658" s="1">
        <v>168.61641</v>
      </c>
      <c r="E658" s="1">
        <v>51.42098</v>
      </c>
      <c r="F658" s="1">
        <v>-1.02017</v>
      </c>
      <c r="G658" s="1">
        <v>0.77341000000000004</v>
      </c>
      <c r="H658" s="1">
        <v>0.376496834410462</v>
      </c>
      <c r="I658" s="1">
        <v>-9.6379999999999993E-2</v>
      </c>
      <c r="J658" s="1">
        <v>786049.22508999996</v>
      </c>
      <c r="K658" s="1">
        <v>-6351406.0652999999</v>
      </c>
      <c r="L658" s="1">
        <v>65898146.696280003</v>
      </c>
      <c r="M658" s="1">
        <v>-5139050.2312899996</v>
      </c>
      <c r="N658" s="1">
        <v>23639566.34962</v>
      </c>
      <c r="O658">
        <v>-4363848.69723</v>
      </c>
      <c r="P658" s="1">
        <v>33885471.515819997</v>
      </c>
      <c r="Q658" s="1">
        <v>21678690.991889998</v>
      </c>
      <c r="R658" s="1">
        <v>28030097.057190001</v>
      </c>
      <c r="S658" s="1">
        <v>-3179473.59246</v>
      </c>
      <c r="T658" s="1">
        <v>-0.18557999999999999</v>
      </c>
      <c r="U658">
        <f t="shared" si="70"/>
        <v>-0.22490906146243056</v>
      </c>
      <c r="V658">
        <f t="shared" si="71"/>
        <v>-1.0679156095582445</v>
      </c>
      <c r="W658">
        <f t="shared" si="72"/>
        <v>-0.26732732583723806</v>
      </c>
      <c r="X658">
        <f t="shared" si="73"/>
        <v>1</v>
      </c>
      <c r="Y658">
        <f t="shared" si="74"/>
        <v>0</v>
      </c>
      <c r="Z658">
        <f t="shared" si="75"/>
        <v>1</v>
      </c>
      <c r="AA658">
        <f t="shared" si="76"/>
        <v>1</v>
      </c>
    </row>
    <row r="659" spans="1:27" x14ac:dyDescent="0.35">
      <c r="A659" s="1">
        <v>-5.8029744267424404</v>
      </c>
      <c r="B659" s="1">
        <v>-17.853533186415</v>
      </c>
      <c r="C659" s="1">
        <v>-2.9129353478752E-2</v>
      </c>
      <c r="D659" s="1">
        <v>145.88316</v>
      </c>
      <c r="E659" s="1">
        <v>50.335700000000003</v>
      </c>
      <c r="F659" s="1">
        <v>-0.60621000000000003</v>
      </c>
      <c r="G659" s="1">
        <v>1.1749400000000001</v>
      </c>
      <c r="H659" s="1">
        <v>0.38374246849316901</v>
      </c>
      <c r="I659" s="1">
        <v>3.8730000000000001E-2</v>
      </c>
      <c r="J659" s="1">
        <v>5145681.7360300003</v>
      </c>
      <c r="K659" s="1">
        <v>2560325.9381900001</v>
      </c>
      <c r="L659" s="1">
        <v>66112280.022079997</v>
      </c>
      <c r="M659" s="1">
        <v>-4395610.9144299999</v>
      </c>
      <c r="N659" s="1">
        <v>25329003.50787</v>
      </c>
      <c r="O659">
        <v>-3830265.6515500001</v>
      </c>
      <c r="P659" s="1">
        <v>33278078.807950001</v>
      </c>
      <c r="Q659" s="1">
        <v>17196064.900660001</v>
      </c>
      <c r="R659" s="1">
        <v>14635738.962470001</v>
      </c>
      <c r="S659" s="1">
        <v>-1922689.19138</v>
      </c>
      <c r="T659" s="1">
        <v>-0.23985999999999999</v>
      </c>
      <c r="U659">
        <f t="shared" si="70"/>
        <v>-9.4365624380052276E-2</v>
      </c>
      <c r="V659">
        <f t="shared" si="71"/>
        <v>-1.1654544131659477</v>
      </c>
      <c r="W659">
        <f t="shared" si="72"/>
        <v>2.0976730811984916E-2</v>
      </c>
      <c r="X659">
        <f t="shared" si="73"/>
        <v>1</v>
      </c>
      <c r="Y659">
        <f t="shared" si="74"/>
        <v>0</v>
      </c>
      <c r="Z659">
        <f t="shared" si="75"/>
        <v>0</v>
      </c>
      <c r="AA659">
        <f t="shared" si="76"/>
        <v>0</v>
      </c>
    </row>
    <row r="660" spans="1:27" x14ac:dyDescent="0.35">
      <c r="A660" s="1">
        <v>-4.1850567746660703</v>
      </c>
      <c r="B660" s="1">
        <v>-13.4101829077124</v>
      </c>
      <c r="C660" s="1">
        <v>-1.9731336737970999E-2</v>
      </c>
      <c r="D660" s="1">
        <v>178.73275000000001</v>
      </c>
      <c r="E660" s="1">
        <v>50.836150000000004</v>
      </c>
      <c r="F660" s="1">
        <v>-0.50446000000000002</v>
      </c>
      <c r="G660" s="1">
        <v>0.92596000000000001</v>
      </c>
      <c r="H660" s="1">
        <v>0.39670486456455301</v>
      </c>
      <c r="I660" s="1">
        <v>-3.2439999999999997E-2</v>
      </c>
      <c r="J660" s="1">
        <v>4871628</v>
      </c>
      <c r="K660" s="1">
        <v>-2556512</v>
      </c>
      <c r="L660">
        <v>78797821</v>
      </c>
      <c r="M660">
        <v>-3444258</v>
      </c>
      <c r="N660">
        <v>28743271</v>
      </c>
      <c r="O660">
        <v>-3032285</v>
      </c>
      <c r="P660">
        <v>40057776</v>
      </c>
      <c r="Q660">
        <v>31970793</v>
      </c>
      <c r="R660">
        <v>34527305</v>
      </c>
      <c r="S660">
        <v>-1429635</v>
      </c>
      <c r="T660">
        <v>-0.20468</v>
      </c>
      <c r="U660">
        <f t="shared" si="70"/>
        <v>-9.0455920071231821E-3</v>
      </c>
      <c r="V660">
        <f t="shared" si="71"/>
        <v>-1.2254675301987603</v>
      </c>
      <c r="W660">
        <f t="shared" si="72"/>
        <v>-5.8907252054596779E-2</v>
      </c>
      <c r="X660">
        <f t="shared" si="73"/>
        <v>1</v>
      </c>
      <c r="Y660">
        <f t="shared" si="74"/>
        <v>0</v>
      </c>
      <c r="Z660">
        <f t="shared" si="75"/>
        <v>1</v>
      </c>
      <c r="AA660">
        <f t="shared" si="76"/>
        <v>1</v>
      </c>
    </row>
    <row r="661" spans="1:27" x14ac:dyDescent="0.35">
      <c r="A661" s="1">
        <v>-2.5478693029381398</v>
      </c>
      <c r="B661" s="1">
        <v>-10.569307692514201</v>
      </c>
      <c r="C661" s="1">
        <v>-3.7007314153320002E-3</v>
      </c>
      <c r="D661" s="1">
        <v>303.43448000000001</v>
      </c>
      <c r="E661" s="1">
        <v>63.559809999999999</v>
      </c>
      <c r="F661" s="1">
        <v>-0.12756000000000001</v>
      </c>
      <c r="G661" s="1">
        <v>0.53349999999999997</v>
      </c>
      <c r="H661" s="1">
        <v>0.302269855753585</v>
      </c>
      <c r="I661" s="1">
        <v>-0.28083999999999998</v>
      </c>
      <c r="J661" s="1">
        <v>2819317</v>
      </c>
      <c r="K661" s="1">
        <v>-30371863</v>
      </c>
      <c r="L661">
        <v>108146305</v>
      </c>
      <c r="M661">
        <v>-3030174</v>
      </c>
      <c r="N661">
        <v>28253787</v>
      </c>
      <c r="O661">
        <v>-2381547</v>
      </c>
      <c r="P661">
        <v>68737583</v>
      </c>
      <c r="Q661">
        <v>34733636</v>
      </c>
      <c r="R661">
        <v>65105499</v>
      </c>
      <c r="S661">
        <v>-345915</v>
      </c>
      <c r="T661">
        <v>-0.17116000000000001</v>
      </c>
      <c r="U661">
        <f t="shared" si="70"/>
        <v>-0.22530134694428949</v>
      </c>
      <c r="V661">
        <f t="shared" si="71"/>
        <v>-0.57586011530041148</v>
      </c>
      <c r="W661">
        <f t="shared" si="72"/>
        <v>-0.41762715773784403</v>
      </c>
      <c r="X661">
        <f t="shared" si="73"/>
        <v>1</v>
      </c>
      <c r="Y661">
        <f t="shared" si="74"/>
        <v>0</v>
      </c>
      <c r="Z661">
        <f t="shared" si="75"/>
        <v>1</v>
      </c>
      <c r="AA661">
        <f t="shared" si="76"/>
        <v>1</v>
      </c>
    </row>
    <row r="662" spans="1:27" x14ac:dyDescent="0.35">
      <c r="A662" s="1">
        <v>-3.0760914459799999</v>
      </c>
      <c r="B662" s="1">
        <v>-7.9311929598489801</v>
      </c>
      <c r="C662" s="1">
        <v>-4.6543626409059E-2</v>
      </c>
      <c r="D662" s="1">
        <v>59.612670000000001</v>
      </c>
      <c r="E662" s="1">
        <v>32.19426</v>
      </c>
      <c r="F662" s="1">
        <v>-2.5584099999999999</v>
      </c>
      <c r="G662" s="1">
        <v>2.0074999999999998</v>
      </c>
      <c r="H662" s="1">
        <v>0.200699143429135</v>
      </c>
      <c r="I662" s="1">
        <v>0.12631999999999999</v>
      </c>
      <c r="J662" s="1">
        <v>-3338258</v>
      </c>
      <c r="K662" s="1">
        <v>16009479</v>
      </c>
      <c r="L662">
        <v>126739690</v>
      </c>
      <c r="M662">
        <v>-3264392</v>
      </c>
      <c r="N662">
        <v>23570709</v>
      </c>
      <c r="O662">
        <v>-3612654</v>
      </c>
      <c r="P662">
        <v>40802900</v>
      </c>
      <c r="Q662">
        <v>31899815</v>
      </c>
      <c r="R662">
        <v>15890336</v>
      </c>
      <c r="S662">
        <v>-5466223</v>
      </c>
      <c r="T662">
        <v>-0.16345999999999999</v>
      </c>
      <c r="U662">
        <f t="shared" si="70"/>
        <v>-6.3494856544755285E-2</v>
      </c>
      <c r="V662">
        <f t="shared" si="71"/>
        <v>-2.3286270890406304</v>
      </c>
      <c r="W662">
        <f t="shared" si="72"/>
        <v>0.11815538702990357</v>
      </c>
      <c r="X662">
        <f t="shared" si="73"/>
        <v>1</v>
      </c>
      <c r="Y662">
        <f t="shared" si="74"/>
        <v>0</v>
      </c>
      <c r="Z662">
        <f t="shared" si="75"/>
        <v>0</v>
      </c>
      <c r="AA662">
        <f t="shared" si="76"/>
        <v>0</v>
      </c>
    </row>
    <row r="663" spans="1:27" x14ac:dyDescent="0.35">
      <c r="A663" s="1">
        <v>-9.4314955533705298</v>
      </c>
      <c r="B663" s="1">
        <v>-17.5309839995003</v>
      </c>
      <c r="C663" s="1">
        <v>-8.9608170316559002E-2</v>
      </c>
      <c r="D663" s="1">
        <v>50.12941</v>
      </c>
      <c r="E663" s="1">
        <v>26.848009999999999</v>
      </c>
      <c r="F663" s="1">
        <v>-4.5307399999999998</v>
      </c>
      <c r="G663" s="1">
        <v>1.13565</v>
      </c>
      <c r="H663" s="1">
        <v>0.146026993623741</v>
      </c>
      <c r="I663" s="1">
        <v>2.3390000000000001E-2</v>
      </c>
      <c r="J663" s="1">
        <v>-1845117</v>
      </c>
      <c r="K663" s="1">
        <v>2536806</v>
      </c>
      <c r="L663">
        <v>108438664</v>
      </c>
      <c r="M663">
        <v>-12733344</v>
      </c>
      <c r="N663">
        <v>17171194</v>
      </c>
      <c r="O663">
        <v>-11090418</v>
      </c>
      <c r="P663">
        <v>29113627</v>
      </c>
      <c r="Q663">
        <v>21238513</v>
      </c>
      <c r="R663">
        <v>18701707</v>
      </c>
      <c r="S663">
        <v>-10536951</v>
      </c>
      <c r="T663">
        <v>-0.29535</v>
      </c>
      <c r="U663">
        <f t="shared" si="70"/>
        <v>-0.66024656847524843</v>
      </c>
      <c r="V663">
        <f t="shared" si="71"/>
        <v>-2.3048892292996248</v>
      </c>
      <c r="W663">
        <f t="shared" si="72"/>
        <v>-0.23680201504511345</v>
      </c>
      <c r="X663">
        <f t="shared" si="73"/>
        <v>1</v>
      </c>
      <c r="Y663">
        <f t="shared" si="74"/>
        <v>0</v>
      </c>
      <c r="Z663">
        <f t="shared" si="75"/>
        <v>1</v>
      </c>
      <c r="AA663">
        <f t="shared" si="76"/>
        <v>1</v>
      </c>
    </row>
    <row r="664" spans="1:27" x14ac:dyDescent="0.35">
      <c r="A664" s="1">
        <v>-10.8453333029096</v>
      </c>
      <c r="B664" s="1">
        <v>-21.553631949134999</v>
      </c>
      <c r="C664" s="1">
        <v>-3.3425791935397998E-2</v>
      </c>
      <c r="D664" s="1">
        <v>51.120530000000002</v>
      </c>
      <c r="E664" s="1">
        <v>23.818380000000001</v>
      </c>
      <c r="F664" s="1">
        <v>-1.3799300000000001</v>
      </c>
      <c r="G664" s="1">
        <v>0.44622000000000001</v>
      </c>
      <c r="H664" s="1">
        <v>0.16055489741767301</v>
      </c>
      <c r="I664" s="1">
        <v>-0.21743999999999999</v>
      </c>
      <c r="J664" s="1">
        <v>218660</v>
      </c>
      <c r="K664" s="1">
        <v>-20503940</v>
      </c>
      <c r="L664">
        <v>94297475</v>
      </c>
      <c r="M664">
        <v>-12297285</v>
      </c>
      <c r="N664">
        <v>16275140</v>
      </c>
      <c r="O664" s="1">
        <v>-10993705</v>
      </c>
      <c r="P664">
        <v>22460128</v>
      </c>
      <c r="Q664">
        <v>16521556</v>
      </c>
      <c r="R664">
        <v>37025496</v>
      </c>
      <c r="S664">
        <v>-3388308</v>
      </c>
      <c r="T664">
        <v>-0.45612000000000003</v>
      </c>
      <c r="U664">
        <f t="shared" si="70"/>
        <v>-0.48444216554488173</v>
      </c>
      <c r="V664">
        <f t="shared" si="71"/>
        <v>-2.4159335159688591</v>
      </c>
      <c r="W664">
        <f t="shared" si="72"/>
        <v>-0.42595249381810063</v>
      </c>
      <c r="X664">
        <f t="shared" si="73"/>
        <v>1</v>
      </c>
      <c r="Y664">
        <f t="shared" si="74"/>
        <v>0</v>
      </c>
      <c r="Z664">
        <f t="shared" si="75"/>
        <v>1</v>
      </c>
      <c r="AA664">
        <f t="shared" si="76"/>
        <v>1</v>
      </c>
    </row>
    <row r="665" spans="1:27" x14ac:dyDescent="0.35">
      <c r="A665" s="1">
        <v>-7.8651488105988898</v>
      </c>
      <c r="B665" s="1">
        <v>-15.370512185064699</v>
      </c>
      <c r="C665" s="1">
        <v>-5.1528471512794001E-2</v>
      </c>
      <c r="D665" s="1">
        <v>33.979950000000002</v>
      </c>
      <c r="E665" s="1">
        <v>19.27413</v>
      </c>
      <c r="F665" s="1">
        <v>-1.9469799999999999</v>
      </c>
      <c r="G665" s="1">
        <v>0.43580999999999998</v>
      </c>
      <c r="H665" s="1">
        <v>0.18719110965755201</v>
      </c>
      <c r="I665" s="1">
        <v>-0.18231</v>
      </c>
      <c r="J665" s="1">
        <v>5316735</v>
      </c>
      <c r="K665" s="1">
        <v>-14175518</v>
      </c>
      <c r="L665" s="1">
        <v>77755290</v>
      </c>
      <c r="M665" s="1">
        <v>-8857501</v>
      </c>
      <c r="N665" s="1">
        <v>16103374</v>
      </c>
      <c r="O665" s="1">
        <v>-6766103</v>
      </c>
      <c r="P665" s="1">
        <v>14986658</v>
      </c>
      <c r="Q665" s="1">
        <v>10949895</v>
      </c>
      <c r="R665" s="1">
        <v>25125413</v>
      </c>
      <c r="S665" s="1">
        <v>-4432808</v>
      </c>
      <c r="T665" s="1">
        <v>-0.64136000000000004</v>
      </c>
      <c r="U665">
        <f t="shared" si="70"/>
        <v>-0.51262804430795117</v>
      </c>
      <c r="V665">
        <f t="shared" si="71"/>
        <v>-2.8080505764609933</v>
      </c>
      <c r="W665">
        <f t="shared" si="72"/>
        <v>-0.43926386551963215</v>
      </c>
      <c r="X665">
        <f t="shared" si="73"/>
        <v>1</v>
      </c>
      <c r="Y665">
        <f t="shared" si="74"/>
        <v>0</v>
      </c>
      <c r="Z665">
        <f t="shared" si="75"/>
        <v>1</v>
      </c>
      <c r="AA665">
        <f t="shared" si="76"/>
        <v>1</v>
      </c>
    </row>
    <row r="666" spans="1:27" x14ac:dyDescent="0.35">
      <c r="A666" s="1">
        <v>-9.9145619024987699</v>
      </c>
      <c r="B666" s="1">
        <v>-17.568386807558301</v>
      </c>
      <c r="C666" s="1">
        <v>-2.7230512642196999E-2</v>
      </c>
      <c r="D666" s="1">
        <v>31.879860000000001</v>
      </c>
      <c r="E666" s="1">
        <v>17.88682</v>
      </c>
      <c r="F666" s="1">
        <v>-1.1527499999999999</v>
      </c>
      <c r="G666" s="1">
        <v>0.42435</v>
      </c>
      <c r="H666" s="1">
        <v>0.27743101965415701</v>
      </c>
      <c r="I666" s="1">
        <v>-0.21667</v>
      </c>
      <c r="J666" s="1">
        <v>1825066</v>
      </c>
      <c r="K666" s="1">
        <v>-14829813</v>
      </c>
      <c r="L666" s="1">
        <v>68442839</v>
      </c>
      <c r="M666" s="1">
        <v>-9328581</v>
      </c>
      <c r="N666" s="1">
        <v>20279948</v>
      </c>
      <c r="O666" s="1">
        <v>-7247452</v>
      </c>
      <c r="P666" s="1">
        <v>12242250</v>
      </c>
      <c r="Q666" s="1">
        <v>10932113</v>
      </c>
      <c r="R666" s="1">
        <v>25761926</v>
      </c>
      <c r="S666" s="1">
        <v>-1990525</v>
      </c>
      <c r="T666" s="1">
        <v>-0.83009999999999995</v>
      </c>
      <c r="U666">
        <f t="shared" si="70"/>
        <v>-0.43292840614906747</v>
      </c>
      <c r="V666">
        <f t="shared" si="71"/>
        <v>-2.802246023183963</v>
      </c>
      <c r="W666">
        <f t="shared" si="72"/>
        <v>-0.40120568287648034</v>
      </c>
      <c r="X666">
        <f t="shared" si="73"/>
        <v>1</v>
      </c>
      <c r="Y666">
        <f t="shared" si="74"/>
        <v>0</v>
      </c>
      <c r="Z666">
        <f t="shared" si="75"/>
        <v>1</v>
      </c>
      <c r="AA666">
        <f t="shared" si="76"/>
        <v>1</v>
      </c>
    </row>
    <row r="667" spans="1:27" x14ac:dyDescent="0.35">
      <c r="A667" s="1">
        <v>-7.6776155794204</v>
      </c>
      <c r="B667" s="1">
        <v>-13.403680241457399</v>
      </c>
      <c r="C667" s="1">
        <v>-6.8355102415063998E-2</v>
      </c>
      <c r="D667" s="1">
        <v>20.803750000000001</v>
      </c>
      <c r="E667" s="1">
        <v>12.1897</v>
      </c>
      <c r="F667" s="1">
        <v>-3.5418400000000001</v>
      </c>
      <c r="G667" s="1">
        <v>0.24593999999999999</v>
      </c>
      <c r="H667" s="1">
        <v>0.22979277346778301</v>
      </c>
      <c r="I667" s="1">
        <v>-0.27082000000000001</v>
      </c>
      <c r="J667" s="1">
        <v>2635210</v>
      </c>
      <c r="K667" s="1">
        <v>-16547755</v>
      </c>
      <c r="L667">
        <v>61101287</v>
      </c>
      <c r="M667">
        <v>-6424412</v>
      </c>
      <c r="N667">
        <v>14884152</v>
      </c>
      <c r="O667" s="1">
        <v>-4972950</v>
      </c>
      <c r="P667">
        <v>7448063</v>
      </c>
      <c r="Q667">
        <v>5397236</v>
      </c>
      <c r="R667">
        <v>21944991</v>
      </c>
      <c r="S667">
        <v>-4427501</v>
      </c>
      <c r="T667">
        <v>-1.0112300000000001</v>
      </c>
      <c r="U667">
        <f t="shared" si="70"/>
        <v>-0.59718331756339071</v>
      </c>
      <c r="V667">
        <f t="shared" si="71"/>
        <v>-3.2379545467218231</v>
      </c>
      <c r="W667">
        <f t="shared" si="72"/>
        <v>-0.6378229479028813</v>
      </c>
      <c r="X667">
        <f t="shared" si="73"/>
        <v>1</v>
      </c>
      <c r="Y667">
        <f t="shared" si="74"/>
        <v>0</v>
      </c>
      <c r="Z667">
        <f t="shared" si="75"/>
        <v>1</v>
      </c>
      <c r="AA667">
        <f t="shared" si="76"/>
        <v>1</v>
      </c>
    </row>
    <row r="668" spans="1:27" x14ac:dyDescent="0.35">
      <c r="A668" s="1">
        <v>-11.151452401235399</v>
      </c>
      <c r="B668" s="1">
        <v>-25.252546337742299</v>
      </c>
      <c r="C668" s="1">
        <v>-7.3173841159236003E-2</v>
      </c>
      <c r="D668" s="1">
        <v>119.81589</v>
      </c>
      <c r="E668" s="1">
        <v>33.302</v>
      </c>
      <c r="F668" s="1">
        <v>-3.4836299999999998</v>
      </c>
      <c r="G668" s="1">
        <v>0.21189</v>
      </c>
      <c r="H668" s="1">
        <v>0.13433162619473901</v>
      </c>
      <c r="I668" s="1">
        <v>-0.39129999999999998</v>
      </c>
      <c r="J668" s="1">
        <v>2572526</v>
      </c>
      <c r="K668" s="1">
        <v>-21087313</v>
      </c>
      <c r="L668">
        <v>53890353</v>
      </c>
      <c r="M668">
        <v>-7789922</v>
      </c>
      <c r="N668">
        <v>7723507</v>
      </c>
      <c r="O668" s="1">
        <v>-6411619</v>
      </c>
      <c r="P668">
        <v>17946566</v>
      </c>
      <c r="Q668">
        <v>5669424</v>
      </c>
      <c r="R668">
        <v>26756737</v>
      </c>
      <c r="S668">
        <v>-4207190</v>
      </c>
      <c r="T668">
        <v>-1.26552</v>
      </c>
      <c r="U668">
        <f t="shared" si="70"/>
        <v>-0.77753652521946426</v>
      </c>
      <c r="V668">
        <f t="shared" si="71"/>
        <v>-1.8655496909413778</v>
      </c>
      <c r="W668">
        <f t="shared" si="72"/>
        <v>-0.85629754536957647</v>
      </c>
      <c r="X668">
        <f t="shared" si="73"/>
        <v>1</v>
      </c>
      <c r="Y668">
        <f t="shared" si="74"/>
        <v>0</v>
      </c>
      <c r="Z668">
        <f t="shared" si="75"/>
        <v>1</v>
      </c>
      <c r="AA668">
        <f t="shared" si="76"/>
        <v>1</v>
      </c>
    </row>
    <row r="669" spans="1:27" x14ac:dyDescent="0.35">
      <c r="A669" s="1">
        <v>7.1887477291323298</v>
      </c>
      <c r="B669" s="1">
        <v>16.892456330410099</v>
      </c>
      <c r="C669" s="1">
        <v>0.25094708975833602</v>
      </c>
      <c r="D669" s="1">
        <v>72.24297</v>
      </c>
      <c r="E669" s="1">
        <v>19.216740000000001</v>
      </c>
      <c r="F669" s="1">
        <v>10.879530000000001</v>
      </c>
      <c r="G669" s="1">
        <v>0.50605999999999995</v>
      </c>
      <c r="H669" s="1">
        <v>1.0286544835381</v>
      </c>
      <c r="I669" s="1">
        <v>-0.21792</v>
      </c>
      <c r="J669" s="1">
        <v>7430759</v>
      </c>
      <c r="K669" s="1">
        <v>-21780326</v>
      </c>
      <c r="L669">
        <v>99945119</v>
      </c>
      <c r="M669">
        <v>10251435</v>
      </c>
      <c r="N669">
        <v>79121774</v>
      </c>
      <c r="O669" s="1">
        <v>5529422</v>
      </c>
      <c r="P669">
        <v>19206193</v>
      </c>
      <c r="Q669">
        <v>22314394</v>
      </c>
      <c r="R669">
        <v>44094720</v>
      </c>
      <c r="S669">
        <v>19302282</v>
      </c>
      <c r="T669">
        <v>-0.71409999999999996</v>
      </c>
      <c r="U669">
        <f t="shared" si="70"/>
        <v>0.8385469964347263</v>
      </c>
      <c r="V669">
        <f t="shared" si="71"/>
        <v>-3.4515822561009388</v>
      </c>
      <c r="W669">
        <f t="shared" si="72"/>
        <v>0.35572294994215781</v>
      </c>
      <c r="X669">
        <f t="shared" si="73"/>
        <v>1</v>
      </c>
      <c r="Y669">
        <f t="shared" si="74"/>
        <v>0</v>
      </c>
      <c r="Z669">
        <f t="shared" si="75"/>
        <v>0</v>
      </c>
      <c r="AA669">
        <f t="shared" si="76"/>
        <v>0</v>
      </c>
    </row>
    <row r="670" spans="1:27" x14ac:dyDescent="0.35">
      <c r="A670" s="1">
        <v>27.806212948789899</v>
      </c>
      <c r="B670" s="1">
        <v>85.390850436466806</v>
      </c>
      <c r="C670" s="1">
        <v>0.48977065372165102</v>
      </c>
      <c r="D670" s="1">
        <v>46.544339999999998</v>
      </c>
      <c r="E670" s="1">
        <v>19.45449</v>
      </c>
      <c r="F670" s="1">
        <v>44.30265</v>
      </c>
      <c r="G670" s="1">
        <v>0.34399000000000002</v>
      </c>
      <c r="H670" s="1">
        <v>1.3707380822428901</v>
      </c>
      <c r="I670" s="1">
        <v>-0.19511000000000001</v>
      </c>
      <c r="J670" s="1">
        <v>22812735</v>
      </c>
      <c r="K670" s="1">
        <v>-35175501</v>
      </c>
      <c r="L670">
        <v>180289993</v>
      </c>
      <c r="M670">
        <v>53850317</v>
      </c>
      <c r="N670">
        <v>192064470</v>
      </c>
      <c r="O670" s="1">
        <v>38961386</v>
      </c>
      <c r="P670">
        <v>35074492</v>
      </c>
      <c r="Q670">
        <v>18445060</v>
      </c>
      <c r="R670">
        <v>53620561</v>
      </c>
      <c r="S670">
        <v>68625467</v>
      </c>
      <c r="T670">
        <v>-0.20874000000000001</v>
      </c>
      <c r="U670">
        <f t="shared" si="70"/>
        <v>2.0565559686142345</v>
      </c>
      <c r="V670">
        <f t="shared" si="71"/>
        <v>-4.1621862452675629</v>
      </c>
      <c r="W670">
        <f t="shared" si="72"/>
        <v>1.0342305842510073</v>
      </c>
      <c r="X670">
        <f t="shared" si="73"/>
        <v>0</v>
      </c>
      <c r="Y670">
        <f t="shared" si="74"/>
        <v>0</v>
      </c>
      <c r="Z670">
        <f t="shared" si="75"/>
        <v>0</v>
      </c>
      <c r="AA670">
        <f t="shared" si="76"/>
        <v>0</v>
      </c>
    </row>
    <row r="671" spans="1:27" x14ac:dyDescent="0.35">
      <c r="A671" s="1">
        <v>12.3987518733194</v>
      </c>
      <c r="B671" s="1">
        <v>29.618296961434901</v>
      </c>
      <c r="C671" s="1">
        <v>0.17441281113111301</v>
      </c>
      <c r="D671" s="1">
        <v>70.699200000000005</v>
      </c>
      <c r="E671" s="1">
        <v>29.709040000000002</v>
      </c>
      <c r="F671" s="1">
        <v>12.516579999999999</v>
      </c>
      <c r="G671" s="1">
        <v>0.38677</v>
      </c>
      <c r="H671" s="1">
        <v>0.79895440997331801</v>
      </c>
      <c r="I671" s="1">
        <v>-0.21604000000000001</v>
      </c>
      <c r="J671" s="1">
        <v>-28431431</v>
      </c>
      <c r="K671" s="1">
        <v>-53026481</v>
      </c>
      <c r="L671">
        <v>245446279</v>
      </c>
      <c r="M671">
        <v>31924056</v>
      </c>
      <c r="N671">
        <v>170071936</v>
      </c>
      <c r="O671" s="1">
        <v>26392992</v>
      </c>
      <c r="P671">
        <v>72919740</v>
      </c>
      <c r="Q671">
        <v>33444900</v>
      </c>
      <c r="R671">
        <v>86471381</v>
      </c>
      <c r="S671">
        <v>37126930</v>
      </c>
      <c r="T671">
        <v>-4.5859999999999998E-2</v>
      </c>
      <c r="U671">
        <f t="shared" si="70"/>
        <v>0.7626815689743679</v>
      </c>
      <c r="V671">
        <f t="shared" si="71"/>
        <v>-3.0889252818463304</v>
      </c>
      <c r="W671">
        <f t="shared" si="72"/>
        <v>0.21715180226871555</v>
      </c>
      <c r="X671">
        <f t="shared" si="73"/>
        <v>1</v>
      </c>
      <c r="Y671">
        <f t="shared" si="74"/>
        <v>0</v>
      </c>
      <c r="Z671">
        <f t="shared" si="75"/>
        <v>0</v>
      </c>
      <c r="AA671">
        <f t="shared" si="76"/>
        <v>0</v>
      </c>
    </row>
    <row r="672" spans="1:27" x14ac:dyDescent="0.35">
      <c r="A672" s="1">
        <v>3.2429711710984499</v>
      </c>
      <c r="B672" s="1">
        <v>7.2708603177433204</v>
      </c>
      <c r="C672" s="1">
        <v>8.5813882363902E-2</v>
      </c>
      <c r="D672" s="1">
        <v>39.106250000000003</v>
      </c>
      <c r="E672" s="1">
        <v>18.589479999999998</v>
      </c>
      <c r="F672" s="1">
        <v>3.3435600000000001</v>
      </c>
      <c r="G672" s="1">
        <v>0.75377000000000005</v>
      </c>
      <c r="H672" s="1">
        <v>0.49804264487757999</v>
      </c>
      <c r="I672" s="1">
        <v>-7.689E-2</v>
      </c>
      <c r="J672" s="1">
        <v>10661863</v>
      </c>
      <c r="K672" s="1">
        <v>-17528375</v>
      </c>
      <c r="L672">
        <v>227965515</v>
      </c>
      <c r="M672">
        <v>12135807</v>
      </c>
      <c r="N672">
        <v>117889631</v>
      </c>
      <c r="O672" s="1">
        <v>7676304</v>
      </c>
      <c r="P672">
        <v>42377614</v>
      </c>
      <c r="Q672">
        <v>53659757</v>
      </c>
      <c r="R672">
        <v>71188132</v>
      </c>
      <c r="S672">
        <v>20312652</v>
      </c>
      <c r="T672">
        <v>-1.5689999999999999E-2</v>
      </c>
      <c r="U672">
        <f t="shared" si="70"/>
        <v>0.51372106572394038</v>
      </c>
      <c r="V672">
        <f t="shared" si="71"/>
        <v>-3.3889132084937104</v>
      </c>
      <c r="W672">
        <f t="shared" si="72"/>
        <v>0.23397970468033291</v>
      </c>
      <c r="X672">
        <f t="shared" si="73"/>
        <v>1</v>
      </c>
      <c r="Y672">
        <f t="shared" si="74"/>
        <v>0</v>
      </c>
      <c r="Z672">
        <f t="shared" si="75"/>
        <v>0</v>
      </c>
      <c r="AA672">
        <f t="shared" si="76"/>
        <v>0</v>
      </c>
    </row>
    <row r="673" spans="1:27" x14ac:dyDescent="0.35">
      <c r="A673" s="1" t="s">
        <v>3</v>
      </c>
      <c r="B673" s="1" t="s">
        <v>3</v>
      </c>
      <c r="C673" s="1" t="s">
        <v>3</v>
      </c>
      <c r="D673" s="1" t="s">
        <v>3</v>
      </c>
      <c r="E673" s="1" t="s">
        <v>3</v>
      </c>
      <c r="F673" s="1" t="s">
        <v>3</v>
      </c>
      <c r="G673" s="1" t="s">
        <v>3</v>
      </c>
      <c r="H673" s="1" t="s">
        <v>3</v>
      </c>
      <c r="I673" s="1" t="s">
        <v>3</v>
      </c>
      <c r="J673" s="1" t="s">
        <v>3</v>
      </c>
      <c r="K673" s="1" t="s">
        <v>3</v>
      </c>
      <c r="L673" s="1" t="s">
        <v>3</v>
      </c>
      <c r="M673" s="1" t="s">
        <v>3</v>
      </c>
      <c r="N673" s="1" t="s">
        <v>3</v>
      </c>
      <c r="O673" s="1" t="s">
        <v>3</v>
      </c>
      <c r="P673" s="1" t="s">
        <v>3</v>
      </c>
      <c r="Q673" s="1" t="s">
        <v>3</v>
      </c>
      <c r="R673" s="1" t="s">
        <v>3</v>
      </c>
      <c r="S673" s="1" t="s">
        <v>3</v>
      </c>
      <c r="T673" s="1" t="s">
        <v>3</v>
      </c>
      <c r="U673" t="e">
        <f t="shared" si="70"/>
        <v>#VALUE!</v>
      </c>
      <c r="V673" t="e">
        <f t="shared" si="71"/>
        <v>#VALUE!</v>
      </c>
      <c r="W673" t="e">
        <f t="shared" si="72"/>
        <v>#VALUE!</v>
      </c>
      <c r="X673" t="e">
        <f t="shared" si="73"/>
        <v>#VALUE!</v>
      </c>
      <c r="Y673" t="e">
        <f t="shared" si="74"/>
        <v>#VALUE!</v>
      </c>
      <c r="Z673" t="e">
        <f t="shared" si="75"/>
        <v>#VALUE!</v>
      </c>
      <c r="AA673" t="e">
        <f t="shared" si="76"/>
        <v>#VALUE!</v>
      </c>
    </row>
    <row r="674" spans="1:27" x14ac:dyDescent="0.35">
      <c r="A674" s="1" t="s">
        <v>3</v>
      </c>
      <c r="B674" s="1" t="s">
        <v>3</v>
      </c>
      <c r="C674" s="1" t="s">
        <v>3</v>
      </c>
      <c r="D674" s="1" t="s">
        <v>3</v>
      </c>
      <c r="E674" s="1" t="s">
        <v>3</v>
      </c>
      <c r="F674" s="1" t="s">
        <v>3</v>
      </c>
      <c r="G674" s="1" t="s">
        <v>3</v>
      </c>
      <c r="H674" s="1" t="s">
        <v>3</v>
      </c>
      <c r="I674" s="1" t="s">
        <v>3</v>
      </c>
      <c r="J674" s="1" t="s">
        <v>3</v>
      </c>
      <c r="K674" s="1" t="s">
        <v>3</v>
      </c>
      <c r="L674" s="1" t="s">
        <v>3</v>
      </c>
      <c r="M674" s="1" t="s">
        <v>3</v>
      </c>
      <c r="N674" s="1" t="s">
        <v>3</v>
      </c>
      <c r="O674" s="1" t="s">
        <v>3</v>
      </c>
      <c r="P674" s="1" t="s">
        <v>3</v>
      </c>
      <c r="Q674" s="1" t="s">
        <v>3</v>
      </c>
      <c r="R674" s="1" t="s">
        <v>3</v>
      </c>
      <c r="S674" s="1" t="s">
        <v>3</v>
      </c>
      <c r="T674" s="1" t="s">
        <v>3</v>
      </c>
      <c r="U674" t="e">
        <f t="shared" si="70"/>
        <v>#VALUE!</v>
      </c>
      <c r="V674" t="e">
        <f t="shared" si="71"/>
        <v>#VALUE!</v>
      </c>
      <c r="W674" t="e">
        <f t="shared" si="72"/>
        <v>#VALUE!</v>
      </c>
      <c r="X674" t="e">
        <f t="shared" si="73"/>
        <v>#VALUE!</v>
      </c>
      <c r="Y674" t="e">
        <f t="shared" si="74"/>
        <v>#VALUE!</v>
      </c>
      <c r="Z674" t="e">
        <f t="shared" si="75"/>
        <v>#VALUE!</v>
      </c>
      <c r="AA674" t="e">
        <f t="shared" si="76"/>
        <v>#VALUE!</v>
      </c>
    </row>
    <row r="675" spans="1:27" x14ac:dyDescent="0.35">
      <c r="A675" s="1" t="s">
        <v>3</v>
      </c>
      <c r="B675" s="1" t="s">
        <v>3</v>
      </c>
      <c r="C675" s="1" t="s">
        <v>3</v>
      </c>
      <c r="D675" s="1" t="s">
        <v>3</v>
      </c>
      <c r="E675" s="1" t="s">
        <v>3</v>
      </c>
      <c r="F675" s="1" t="s">
        <v>3</v>
      </c>
      <c r="G675" s="1" t="s">
        <v>3</v>
      </c>
      <c r="H675" s="1" t="s">
        <v>3</v>
      </c>
      <c r="I675" s="1" t="s">
        <v>3</v>
      </c>
      <c r="J675" s="1" t="s">
        <v>3</v>
      </c>
      <c r="K675" s="1" t="s">
        <v>3</v>
      </c>
      <c r="L675" s="1" t="s">
        <v>3</v>
      </c>
      <c r="M675" s="1" t="s">
        <v>3</v>
      </c>
      <c r="N675" s="1" t="s">
        <v>3</v>
      </c>
      <c r="O675" s="1" t="s">
        <v>3</v>
      </c>
      <c r="P675" s="1" t="s">
        <v>3</v>
      </c>
      <c r="Q675" s="1" t="s">
        <v>3</v>
      </c>
      <c r="R675" s="1" t="s">
        <v>3</v>
      </c>
      <c r="S675" s="1" t="s">
        <v>3</v>
      </c>
      <c r="T675" s="1" t="s">
        <v>3</v>
      </c>
      <c r="U675" t="e">
        <f t="shared" si="70"/>
        <v>#VALUE!</v>
      </c>
      <c r="V675" t="e">
        <f t="shared" si="71"/>
        <v>#VALUE!</v>
      </c>
      <c r="W675" t="e">
        <f t="shared" si="72"/>
        <v>#VALUE!</v>
      </c>
      <c r="X675" t="e">
        <f t="shared" si="73"/>
        <v>#VALUE!</v>
      </c>
      <c r="Y675" t="e">
        <f t="shared" si="74"/>
        <v>#VALUE!</v>
      </c>
      <c r="Z675" t="e">
        <f t="shared" si="75"/>
        <v>#VALUE!</v>
      </c>
      <c r="AA675" t="e">
        <f t="shared" si="76"/>
        <v>#VALUE!</v>
      </c>
    </row>
    <row r="676" spans="1:27" x14ac:dyDescent="0.35">
      <c r="A676" s="1" t="s">
        <v>3</v>
      </c>
      <c r="B676" s="1" t="s">
        <v>3</v>
      </c>
      <c r="C676" s="1" t="s">
        <v>3</v>
      </c>
      <c r="D676" s="1" t="s">
        <v>3</v>
      </c>
      <c r="E676" s="1" t="s">
        <v>3</v>
      </c>
      <c r="F676" s="1" t="s">
        <v>3</v>
      </c>
      <c r="G676" s="1" t="s">
        <v>3</v>
      </c>
      <c r="H676" s="1" t="s">
        <v>3</v>
      </c>
      <c r="I676" s="1" t="s">
        <v>3</v>
      </c>
      <c r="J676" s="1" t="s">
        <v>3</v>
      </c>
      <c r="K676" s="1" t="s">
        <v>3</v>
      </c>
      <c r="L676" s="1" t="s">
        <v>3</v>
      </c>
      <c r="M676" s="1" t="s">
        <v>3</v>
      </c>
      <c r="N676" s="1" t="s">
        <v>3</v>
      </c>
      <c r="O676" s="1" t="s">
        <v>3</v>
      </c>
      <c r="P676" s="1" t="s">
        <v>3</v>
      </c>
      <c r="Q676" s="1" t="s">
        <v>3</v>
      </c>
      <c r="R676" s="1" t="s">
        <v>3</v>
      </c>
      <c r="S676" s="1" t="s">
        <v>3</v>
      </c>
      <c r="T676" s="1" t="s">
        <v>3</v>
      </c>
      <c r="U676" t="e">
        <f t="shared" si="70"/>
        <v>#VALUE!</v>
      </c>
      <c r="V676" t="e">
        <f t="shared" si="71"/>
        <v>#VALUE!</v>
      </c>
      <c r="W676" t="e">
        <f t="shared" si="72"/>
        <v>#VALUE!</v>
      </c>
      <c r="X676" t="e">
        <f t="shared" si="73"/>
        <v>#VALUE!</v>
      </c>
      <c r="Y676" t="e">
        <f t="shared" si="74"/>
        <v>#VALUE!</v>
      </c>
      <c r="Z676" t="e">
        <f t="shared" si="75"/>
        <v>#VALUE!</v>
      </c>
      <c r="AA676" t="e">
        <f t="shared" si="76"/>
        <v>#VALUE!</v>
      </c>
    </row>
    <row r="677" spans="1:27" x14ac:dyDescent="0.35">
      <c r="A677" s="1" t="s">
        <v>3</v>
      </c>
      <c r="B677" s="1" t="s">
        <v>3</v>
      </c>
      <c r="C677" s="1" t="s">
        <v>3</v>
      </c>
      <c r="D677" s="1" t="s">
        <v>3</v>
      </c>
      <c r="E677" s="1" t="s">
        <v>3</v>
      </c>
      <c r="F677" s="1" t="s">
        <v>3</v>
      </c>
      <c r="G677" s="1" t="s">
        <v>3</v>
      </c>
      <c r="H677" s="1" t="s">
        <v>3</v>
      </c>
      <c r="I677" s="1" t="s">
        <v>3</v>
      </c>
      <c r="J677" s="1" t="s">
        <v>3</v>
      </c>
      <c r="K677" s="1" t="s">
        <v>3</v>
      </c>
      <c r="L677" s="1" t="s">
        <v>3</v>
      </c>
      <c r="M677" s="1" t="s">
        <v>3</v>
      </c>
      <c r="N677" s="1" t="s">
        <v>3</v>
      </c>
      <c r="O677" s="1" t="s">
        <v>3</v>
      </c>
      <c r="P677" s="1" t="s">
        <v>3</v>
      </c>
      <c r="Q677" s="1" t="s">
        <v>3</v>
      </c>
      <c r="R677" s="1" t="s">
        <v>3</v>
      </c>
      <c r="S677" s="1" t="s">
        <v>3</v>
      </c>
      <c r="T677" s="1" t="s">
        <v>3</v>
      </c>
      <c r="U677" t="e">
        <f t="shared" si="70"/>
        <v>#VALUE!</v>
      </c>
      <c r="V677" t="e">
        <f t="shared" si="71"/>
        <v>#VALUE!</v>
      </c>
      <c r="W677" t="e">
        <f t="shared" si="72"/>
        <v>#VALUE!</v>
      </c>
      <c r="X677" t="e">
        <f t="shared" si="73"/>
        <v>#VALUE!</v>
      </c>
      <c r="Y677" t="e">
        <f t="shared" si="74"/>
        <v>#VALUE!</v>
      </c>
      <c r="Z677" t="e">
        <f t="shared" si="75"/>
        <v>#VALUE!</v>
      </c>
      <c r="AA677" t="e">
        <f t="shared" si="76"/>
        <v>#VALUE!</v>
      </c>
    </row>
    <row r="678" spans="1:27" x14ac:dyDescent="0.35">
      <c r="A678" s="1" t="s">
        <v>3</v>
      </c>
      <c r="B678" s="1" t="s">
        <v>3</v>
      </c>
      <c r="C678" s="1" t="s">
        <v>3</v>
      </c>
      <c r="D678" s="1" t="s">
        <v>3</v>
      </c>
      <c r="E678" s="1" t="s">
        <v>3</v>
      </c>
      <c r="F678" s="1" t="s">
        <v>3</v>
      </c>
      <c r="G678" s="1" t="s">
        <v>3</v>
      </c>
      <c r="H678" s="1" t="s">
        <v>3</v>
      </c>
      <c r="I678" s="1" t="s">
        <v>3</v>
      </c>
      <c r="J678" s="1" t="s">
        <v>3</v>
      </c>
      <c r="K678" s="1" t="s">
        <v>3</v>
      </c>
      <c r="L678" s="1" t="s">
        <v>3</v>
      </c>
      <c r="M678" s="1" t="s">
        <v>3</v>
      </c>
      <c r="N678" s="1" t="s">
        <v>3</v>
      </c>
      <c r="O678" s="1" t="s">
        <v>3</v>
      </c>
      <c r="P678" s="1" t="s">
        <v>3</v>
      </c>
      <c r="Q678" s="1" t="s">
        <v>3</v>
      </c>
      <c r="R678" s="1" t="s">
        <v>3</v>
      </c>
      <c r="S678" s="1" t="s">
        <v>3</v>
      </c>
      <c r="T678" s="1" t="s">
        <v>3</v>
      </c>
      <c r="U678" t="e">
        <f t="shared" si="70"/>
        <v>#VALUE!</v>
      </c>
      <c r="V678" t="e">
        <f t="shared" si="71"/>
        <v>#VALUE!</v>
      </c>
      <c r="W678" t="e">
        <f t="shared" si="72"/>
        <v>#VALUE!</v>
      </c>
      <c r="X678" t="e">
        <f t="shared" si="73"/>
        <v>#VALUE!</v>
      </c>
      <c r="Y678" t="e">
        <f t="shared" si="74"/>
        <v>#VALUE!</v>
      </c>
      <c r="Z678" t="e">
        <f t="shared" si="75"/>
        <v>#VALUE!</v>
      </c>
      <c r="AA678" t="e">
        <f t="shared" si="76"/>
        <v>#VALUE!</v>
      </c>
    </row>
    <row r="679" spans="1:27" x14ac:dyDescent="0.35">
      <c r="A679" s="1" t="s">
        <v>3</v>
      </c>
      <c r="B679" s="1" t="s">
        <v>3</v>
      </c>
      <c r="C679" s="1" t="s">
        <v>3</v>
      </c>
      <c r="D679" s="1" t="s">
        <v>3</v>
      </c>
      <c r="E679" s="1" t="s">
        <v>3</v>
      </c>
      <c r="F679" s="1" t="s">
        <v>3</v>
      </c>
      <c r="G679" s="1" t="s">
        <v>3</v>
      </c>
      <c r="H679" s="1" t="s">
        <v>3</v>
      </c>
      <c r="I679" s="1" t="s">
        <v>3</v>
      </c>
      <c r="J679" s="1" t="s">
        <v>3</v>
      </c>
      <c r="K679" s="1" t="s">
        <v>3</v>
      </c>
      <c r="L679" s="1" t="s">
        <v>3</v>
      </c>
      <c r="M679" s="1" t="s">
        <v>3</v>
      </c>
      <c r="N679" s="1" t="s">
        <v>3</v>
      </c>
      <c r="O679" s="1" t="s">
        <v>3</v>
      </c>
      <c r="P679" s="1" t="s">
        <v>3</v>
      </c>
      <c r="Q679" s="1" t="s">
        <v>3</v>
      </c>
      <c r="R679" s="1" t="s">
        <v>3</v>
      </c>
      <c r="S679" s="1" t="s">
        <v>3</v>
      </c>
      <c r="T679" s="1" t="s">
        <v>3</v>
      </c>
      <c r="U679" t="e">
        <f t="shared" si="70"/>
        <v>#VALUE!</v>
      </c>
      <c r="V679" t="e">
        <f t="shared" si="71"/>
        <v>#VALUE!</v>
      </c>
      <c r="W679" t="e">
        <f t="shared" si="72"/>
        <v>#VALUE!</v>
      </c>
      <c r="X679" t="e">
        <f t="shared" si="73"/>
        <v>#VALUE!</v>
      </c>
      <c r="Y679" t="e">
        <f t="shared" si="74"/>
        <v>#VALUE!</v>
      </c>
      <c r="Z679" t="e">
        <f t="shared" si="75"/>
        <v>#VALUE!</v>
      </c>
      <c r="AA679" t="e">
        <f t="shared" si="76"/>
        <v>#VALUE!</v>
      </c>
    </row>
    <row r="680" spans="1:27" x14ac:dyDescent="0.35">
      <c r="A680" s="1" t="s">
        <v>3</v>
      </c>
      <c r="B680" s="1" t="s">
        <v>3</v>
      </c>
      <c r="C680" s="1" t="s">
        <v>3</v>
      </c>
      <c r="D680" s="1" t="s">
        <v>3</v>
      </c>
      <c r="E680" s="1" t="s">
        <v>3</v>
      </c>
      <c r="F680" s="1" t="s">
        <v>3</v>
      </c>
      <c r="G680" s="1" t="s">
        <v>3</v>
      </c>
      <c r="H680" s="1" t="s">
        <v>3</v>
      </c>
      <c r="I680" s="1" t="s">
        <v>3</v>
      </c>
      <c r="J680" s="1" t="s">
        <v>3</v>
      </c>
      <c r="K680" s="1" t="s">
        <v>3</v>
      </c>
      <c r="L680" s="1" t="s">
        <v>3</v>
      </c>
      <c r="M680" s="1" t="s">
        <v>3</v>
      </c>
      <c r="N680" s="1" t="s">
        <v>3</v>
      </c>
      <c r="O680" s="1" t="s">
        <v>3</v>
      </c>
      <c r="P680" s="1" t="s">
        <v>3</v>
      </c>
      <c r="Q680" s="1" t="s">
        <v>3</v>
      </c>
      <c r="R680" s="1" t="s">
        <v>3</v>
      </c>
      <c r="S680" s="1" t="s">
        <v>3</v>
      </c>
      <c r="T680" s="1" t="s">
        <v>3</v>
      </c>
      <c r="U680" t="e">
        <f t="shared" si="70"/>
        <v>#VALUE!</v>
      </c>
      <c r="V680" t="e">
        <f t="shared" si="71"/>
        <v>#VALUE!</v>
      </c>
      <c r="W680" t="e">
        <f t="shared" si="72"/>
        <v>#VALUE!</v>
      </c>
      <c r="X680" t="e">
        <f t="shared" si="73"/>
        <v>#VALUE!</v>
      </c>
      <c r="Y680" t="e">
        <f t="shared" si="74"/>
        <v>#VALUE!</v>
      </c>
      <c r="Z680" t="e">
        <f t="shared" si="75"/>
        <v>#VALUE!</v>
      </c>
      <c r="AA680" t="e">
        <f t="shared" si="76"/>
        <v>#VALUE!</v>
      </c>
    </row>
    <row r="681" spans="1:27" x14ac:dyDescent="0.35">
      <c r="A681" s="1" t="s">
        <v>3</v>
      </c>
      <c r="B681" s="1" t="s">
        <v>3</v>
      </c>
      <c r="C681" s="1" t="s">
        <v>3</v>
      </c>
      <c r="D681" s="1" t="s">
        <v>3</v>
      </c>
      <c r="E681" s="1" t="s">
        <v>3</v>
      </c>
      <c r="F681" s="1" t="s">
        <v>3</v>
      </c>
      <c r="G681" s="1" t="s">
        <v>3</v>
      </c>
      <c r="H681" s="1" t="s">
        <v>3</v>
      </c>
      <c r="I681" s="1" t="s">
        <v>3</v>
      </c>
      <c r="J681" s="1" t="s">
        <v>3</v>
      </c>
      <c r="K681" s="1" t="s">
        <v>3</v>
      </c>
      <c r="L681" s="1" t="s">
        <v>3</v>
      </c>
      <c r="M681" s="1" t="s">
        <v>3</v>
      </c>
      <c r="N681" s="1" t="s">
        <v>3</v>
      </c>
      <c r="O681" s="1" t="s">
        <v>3</v>
      </c>
      <c r="P681" s="1" t="s">
        <v>3</v>
      </c>
      <c r="Q681" s="1" t="s">
        <v>3</v>
      </c>
      <c r="R681" s="1" t="s">
        <v>3</v>
      </c>
      <c r="S681" s="1" t="s">
        <v>3</v>
      </c>
      <c r="T681" s="1" t="s">
        <v>3</v>
      </c>
      <c r="U681" t="e">
        <f t="shared" si="70"/>
        <v>#VALUE!</v>
      </c>
      <c r="V681" t="e">
        <f t="shared" si="71"/>
        <v>#VALUE!</v>
      </c>
      <c r="W681" t="e">
        <f t="shared" si="72"/>
        <v>#VALUE!</v>
      </c>
      <c r="X681" t="e">
        <f t="shared" si="73"/>
        <v>#VALUE!</v>
      </c>
      <c r="Y681" t="e">
        <f t="shared" si="74"/>
        <v>#VALUE!</v>
      </c>
      <c r="Z681" t="e">
        <f t="shared" si="75"/>
        <v>#VALUE!</v>
      </c>
      <c r="AA681" t="e">
        <f t="shared" si="76"/>
        <v>#VALUE!</v>
      </c>
    </row>
    <row r="682" spans="1:27" x14ac:dyDescent="0.35">
      <c r="A682" s="1" t="s">
        <v>3</v>
      </c>
      <c r="B682" s="1" t="s">
        <v>3</v>
      </c>
      <c r="C682" s="1" t="s">
        <v>3</v>
      </c>
      <c r="D682" s="1" t="s">
        <v>3</v>
      </c>
      <c r="E682" s="1" t="s">
        <v>3</v>
      </c>
      <c r="F682" s="1" t="s">
        <v>3</v>
      </c>
      <c r="G682" s="1" t="s">
        <v>3</v>
      </c>
      <c r="H682" s="1" t="s">
        <v>3</v>
      </c>
      <c r="I682" s="1" t="s">
        <v>3</v>
      </c>
      <c r="J682" s="1" t="s">
        <v>3</v>
      </c>
      <c r="K682" s="1" t="s">
        <v>3</v>
      </c>
      <c r="L682" s="1" t="s">
        <v>3</v>
      </c>
      <c r="M682" s="1" t="s">
        <v>3</v>
      </c>
      <c r="N682" s="1" t="s">
        <v>3</v>
      </c>
      <c r="O682" s="1" t="s">
        <v>3</v>
      </c>
      <c r="P682" s="1" t="s">
        <v>3</v>
      </c>
      <c r="Q682" s="1" t="s">
        <v>3</v>
      </c>
      <c r="R682" s="1" t="s">
        <v>3</v>
      </c>
      <c r="S682" s="1" t="s">
        <v>3</v>
      </c>
      <c r="T682" s="1" t="s">
        <v>3</v>
      </c>
      <c r="U682" t="e">
        <f t="shared" si="70"/>
        <v>#VALUE!</v>
      </c>
      <c r="V682" t="e">
        <f t="shared" si="71"/>
        <v>#VALUE!</v>
      </c>
      <c r="W682" t="e">
        <f t="shared" si="72"/>
        <v>#VALUE!</v>
      </c>
      <c r="X682" t="e">
        <f t="shared" si="73"/>
        <v>#VALUE!</v>
      </c>
      <c r="Y682" t="e">
        <f t="shared" si="74"/>
        <v>#VALUE!</v>
      </c>
      <c r="Z682" t="e">
        <f t="shared" si="75"/>
        <v>#VALUE!</v>
      </c>
      <c r="AA682" t="e">
        <f t="shared" si="76"/>
        <v>#VALUE!</v>
      </c>
    </row>
    <row r="683" spans="1:27" x14ac:dyDescent="0.35">
      <c r="A683" s="1" t="s">
        <v>3</v>
      </c>
      <c r="B683" s="1" t="s">
        <v>3</v>
      </c>
      <c r="C683" s="1" t="s">
        <v>3</v>
      </c>
      <c r="D683" s="1" t="s">
        <v>3</v>
      </c>
      <c r="E683" s="1" t="s">
        <v>3</v>
      </c>
      <c r="F683" s="1" t="s">
        <v>3</v>
      </c>
      <c r="G683" s="1" t="s">
        <v>3</v>
      </c>
      <c r="H683" s="1" t="s">
        <v>3</v>
      </c>
      <c r="I683" s="1" t="s">
        <v>3</v>
      </c>
      <c r="J683" s="1" t="s">
        <v>3</v>
      </c>
      <c r="K683" s="1" t="s">
        <v>3</v>
      </c>
      <c r="L683" s="1" t="s">
        <v>3</v>
      </c>
      <c r="M683" s="1" t="s">
        <v>3</v>
      </c>
      <c r="N683" s="1" t="s">
        <v>3</v>
      </c>
      <c r="O683" s="1" t="s">
        <v>3</v>
      </c>
      <c r="P683" s="1" t="s">
        <v>3</v>
      </c>
      <c r="Q683" s="1" t="s">
        <v>3</v>
      </c>
      <c r="R683" s="1" t="s">
        <v>3</v>
      </c>
      <c r="S683" s="1" t="s">
        <v>3</v>
      </c>
      <c r="T683" s="1" t="s">
        <v>3</v>
      </c>
      <c r="U683" t="e">
        <f t="shared" si="70"/>
        <v>#VALUE!</v>
      </c>
      <c r="V683" t="e">
        <f t="shared" si="71"/>
        <v>#VALUE!</v>
      </c>
      <c r="W683" t="e">
        <f t="shared" si="72"/>
        <v>#VALUE!</v>
      </c>
      <c r="X683" t="e">
        <f t="shared" si="73"/>
        <v>#VALUE!</v>
      </c>
      <c r="Y683" t="e">
        <f t="shared" si="74"/>
        <v>#VALUE!</v>
      </c>
      <c r="Z683" t="e">
        <f t="shared" si="75"/>
        <v>#VALUE!</v>
      </c>
      <c r="AA683" t="e">
        <f t="shared" si="76"/>
        <v>#VALUE!</v>
      </c>
    </row>
    <row r="684" spans="1:27" x14ac:dyDescent="0.35">
      <c r="A684" s="1" t="s">
        <v>3</v>
      </c>
      <c r="B684" s="1" t="s">
        <v>3</v>
      </c>
      <c r="C684" s="1" t="s">
        <v>3</v>
      </c>
      <c r="D684" s="1" t="s">
        <v>3</v>
      </c>
      <c r="E684" s="1" t="s">
        <v>3</v>
      </c>
      <c r="F684" s="1" t="s">
        <v>3</v>
      </c>
      <c r="G684" s="1" t="s">
        <v>3</v>
      </c>
      <c r="H684" s="1" t="s">
        <v>3</v>
      </c>
      <c r="I684" s="1" t="s">
        <v>3</v>
      </c>
      <c r="J684" s="1" t="s">
        <v>3</v>
      </c>
      <c r="K684" s="1" t="s">
        <v>3</v>
      </c>
      <c r="L684" s="1" t="s">
        <v>3</v>
      </c>
      <c r="M684" s="1" t="s">
        <v>3</v>
      </c>
      <c r="N684" s="1" t="s">
        <v>3</v>
      </c>
      <c r="O684" s="1" t="s">
        <v>3</v>
      </c>
      <c r="P684" s="1" t="s">
        <v>3</v>
      </c>
      <c r="Q684" s="1" t="s">
        <v>3</v>
      </c>
      <c r="R684" s="1" t="s">
        <v>3</v>
      </c>
      <c r="S684" s="1" t="s">
        <v>3</v>
      </c>
      <c r="T684" s="1" t="s">
        <v>3</v>
      </c>
      <c r="U684" t="e">
        <f t="shared" si="70"/>
        <v>#VALUE!</v>
      </c>
      <c r="V684" t="e">
        <f t="shared" si="71"/>
        <v>#VALUE!</v>
      </c>
      <c r="W684" t="e">
        <f t="shared" si="72"/>
        <v>#VALUE!</v>
      </c>
      <c r="X684" t="e">
        <f t="shared" si="73"/>
        <v>#VALUE!</v>
      </c>
      <c r="Y684" t="e">
        <f t="shared" si="74"/>
        <v>#VALUE!</v>
      </c>
      <c r="Z684" t="e">
        <f t="shared" si="75"/>
        <v>#VALUE!</v>
      </c>
      <c r="AA684" t="e">
        <f t="shared" si="76"/>
        <v>#VALUE!</v>
      </c>
    </row>
    <row r="685" spans="1:27" x14ac:dyDescent="0.35">
      <c r="A685" s="1" t="s">
        <v>3</v>
      </c>
      <c r="B685" s="1" t="s">
        <v>3</v>
      </c>
      <c r="C685" s="1" t="s">
        <v>3</v>
      </c>
      <c r="D685" s="1" t="s">
        <v>3</v>
      </c>
      <c r="E685" s="1" t="s">
        <v>3</v>
      </c>
      <c r="F685" s="1" t="s">
        <v>3</v>
      </c>
      <c r="G685" s="1" t="s">
        <v>3</v>
      </c>
      <c r="H685" s="1" t="s">
        <v>3</v>
      </c>
      <c r="I685" s="1" t="s">
        <v>3</v>
      </c>
      <c r="J685" s="1" t="s">
        <v>3</v>
      </c>
      <c r="K685" s="1" t="s">
        <v>3</v>
      </c>
      <c r="L685" s="1" t="s">
        <v>3</v>
      </c>
      <c r="M685" s="1" t="s">
        <v>3</v>
      </c>
      <c r="N685" s="1" t="s">
        <v>3</v>
      </c>
      <c r="O685" s="1" t="s">
        <v>3</v>
      </c>
      <c r="P685" s="1" t="s">
        <v>3</v>
      </c>
      <c r="Q685" s="1" t="s">
        <v>3</v>
      </c>
      <c r="R685" s="1" t="s">
        <v>3</v>
      </c>
      <c r="S685" s="1" t="s">
        <v>3</v>
      </c>
      <c r="T685" s="1" t="s">
        <v>3</v>
      </c>
      <c r="U685" t="e">
        <f t="shared" si="70"/>
        <v>#VALUE!</v>
      </c>
      <c r="V685" t="e">
        <f t="shared" si="71"/>
        <v>#VALUE!</v>
      </c>
      <c r="W685" t="e">
        <f t="shared" si="72"/>
        <v>#VALUE!</v>
      </c>
      <c r="X685" t="e">
        <f t="shared" si="73"/>
        <v>#VALUE!</v>
      </c>
      <c r="Y685" t="e">
        <f t="shared" si="74"/>
        <v>#VALUE!</v>
      </c>
      <c r="Z685" t="e">
        <f t="shared" si="75"/>
        <v>#VALUE!</v>
      </c>
      <c r="AA685" t="e">
        <f t="shared" si="76"/>
        <v>#VALUE!</v>
      </c>
    </row>
    <row r="686" spans="1:27" x14ac:dyDescent="0.35">
      <c r="A686" s="1" t="s">
        <v>3</v>
      </c>
      <c r="B686" s="1" t="s">
        <v>3</v>
      </c>
      <c r="C686" s="1" t="s">
        <v>3</v>
      </c>
      <c r="D686" s="1" t="s">
        <v>3</v>
      </c>
      <c r="E686" s="1" t="s">
        <v>3</v>
      </c>
      <c r="F686" s="1" t="s">
        <v>3</v>
      </c>
      <c r="G686" s="1" t="s">
        <v>3</v>
      </c>
      <c r="H686" s="1" t="s">
        <v>3</v>
      </c>
      <c r="I686" s="1" t="s">
        <v>3</v>
      </c>
      <c r="J686" s="1" t="s">
        <v>3</v>
      </c>
      <c r="K686" s="1" t="s">
        <v>3</v>
      </c>
      <c r="L686" s="1" t="s">
        <v>3</v>
      </c>
      <c r="M686" s="1" t="s">
        <v>3</v>
      </c>
      <c r="N686" s="1" t="s">
        <v>3</v>
      </c>
      <c r="O686" s="1" t="s">
        <v>3</v>
      </c>
      <c r="P686" s="1" t="s">
        <v>3</v>
      </c>
      <c r="Q686" s="1" t="s">
        <v>3</v>
      </c>
      <c r="R686" s="1" t="s">
        <v>3</v>
      </c>
      <c r="S686" s="1" t="s">
        <v>3</v>
      </c>
      <c r="T686" s="1" t="s">
        <v>3</v>
      </c>
      <c r="U686" t="e">
        <f t="shared" si="70"/>
        <v>#VALUE!</v>
      </c>
      <c r="V686" t="e">
        <f t="shared" si="71"/>
        <v>#VALUE!</v>
      </c>
      <c r="W686" t="e">
        <f t="shared" si="72"/>
        <v>#VALUE!</v>
      </c>
      <c r="X686" t="e">
        <f t="shared" si="73"/>
        <v>#VALUE!</v>
      </c>
      <c r="Y686" t="e">
        <f t="shared" si="74"/>
        <v>#VALUE!</v>
      </c>
      <c r="Z686" t="e">
        <f t="shared" si="75"/>
        <v>#VALUE!</v>
      </c>
      <c r="AA686" t="e">
        <f t="shared" si="76"/>
        <v>#VALUE!</v>
      </c>
    </row>
    <row r="687" spans="1:27" x14ac:dyDescent="0.35">
      <c r="A687" s="1" t="s">
        <v>3</v>
      </c>
      <c r="B687" s="1" t="s">
        <v>3</v>
      </c>
      <c r="C687" s="1" t="s">
        <v>3</v>
      </c>
      <c r="D687" s="1" t="s">
        <v>3</v>
      </c>
      <c r="E687" s="1" t="s">
        <v>3</v>
      </c>
      <c r="F687" s="1" t="s">
        <v>3</v>
      </c>
      <c r="G687" s="1" t="s">
        <v>3</v>
      </c>
      <c r="H687" s="1" t="s">
        <v>3</v>
      </c>
      <c r="I687" s="1" t="s">
        <v>3</v>
      </c>
      <c r="J687" s="1" t="s">
        <v>3</v>
      </c>
      <c r="K687" s="1" t="s">
        <v>3</v>
      </c>
      <c r="L687" s="1" t="s">
        <v>3</v>
      </c>
      <c r="M687" s="1" t="s">
        <v>3</v>
      </c>
      <c r="N687" s="1" t="s">
        <v>3</v>
      </c>
      <c r="O687" s="1" t="s">
        <v>3</v>
      </c>
      <c r="P687" s="1" t="s">
        <v>3</v>
      </c>
      <c r="Q687" s="1" t="s">
        <v>3</v>
      </c>
      <c r="R687" s="1" t="s">
        <v>3</v>
      </c>
      <c r="S687" s="1" t="s">
        <v>3</v>
      </c>
      <c r="T687" s="1" t="s">
        <v>3</v>
      </c>
      <c r="U687" t="e">
        <f t="shared" si="70"/>
        <v>#VALUE!</v>
      </c>
      <c r="V687" t="e">
        <f t="shared" si="71"/>
        <v>#VALUE!</v>
      </c>
      <c r="W687" t="e">
        <f t="shared" si="72"/>
        <v>#VALUE!</v>
      </c>
      <c r="X687" t="e">
        <f t="shared" si="73"/>
        <v>#VALUE!</v>
      </c>
      <c r="Y687" t="e">
        <f t="shared" si="74"/>
        <v>#VALUE!</v>
      </c>
      <c r="Z687" t="e">
        <f t="shared" si="75"/>
        <v>#VALUE!</v>
      </c>
      <c r="AA687" t="e">
        <f t="shared" si="76"/>
        <v>#VALUE!</v>
      </c>
    </row>
    <row r="688" spans="1:27" x14ac:dyDescent="0.35">
      <c r="A688" s="1" t="s">
        <v>3</v>
      </c>
      <c r="B688" s="1" t="s">
        <v>3</v>
      </c>
      <c r="C688" s="1" t="s">
        <v>3</v>
      </c>
      <c r="D688" s="1">
        <v>0</v>
      </c>
      <c r="E688" s="1">
        <v>0</v>
      </c>
      <c r="F688" s="1" t="s">
        <v>3</v>
      </c>
      <c r="G688" s="1" t="s">
        <v>3</v>
      </c>
      <c r="H688" s="1" t="s">
        <v>3</v>
      </c>
      <c r="I688" s="1">
        <v>0</v>
      </c>
      <c r="J688" s="1">
        <v>-102</v>
      </c>
      <c r="K688" s="1">
        <v>40</v>
      </c>
      <c r="L688">
        <v>14988181</v>
      </c>
      <c r="M688">
        <v>-500</v>
      </c>
      <c r="N688">
        <v>0</v>
      </c>
      <c r="O688" s="1">
        <v>-500</v>
      </c>
      <c r="P688">
        <v>0</v>
      </c>
      <c r="Q688">
        <v>40</v>
      </c>
      <c r="R688">
        <v>0</v>
      </c>
      <c r="S688">
        <v>-398</v>
      </c>
      <c r="T688">
        <v>0.98809000000000002</v>
      </c>
      <c r="U688" t="e">
        <f t="shared" si="70"/>
        <v>#DIV/0!</v>
      </c>
      <c r="V688" t="e">
        <f t="shared" si="71"/>
        <v>#DIV/0!</v>
      </c>
      <c r="W688">
        <f t="shared" si="72"/>
        <v>5.6913479027241538E-2</v>
      </c>
      <c r="X688" t="e">
        <f t="shared" si="73"/>
        <v>#DIV/0!</v>
      </c>
      <c r="Y688" t="e">
        <f t="shared" si="74"/>
        <v>#DIV/0!</v>
      </c>
      <c r="Z688">
        <f t="shared" si="75"/>
        <v>0</v>
      </c>
      <c r="AA688" t="e">
        <f t="shared" si="76"/>
        <v>#DIV/0!</v>
      </c>
    </row>
    <row r="689" spans="1:27" x14ac:dyDescent="0.35">
      <c r="A689" s="1">
        <v>-0.161530202735956</v>
      </c>
      <c r="B689" s="1">
        <v>-0.161530202735956</v>
      </c>
      <c r="C689" s="1">
        <v>0</v>
      </c>
      <c r="D689" s="1">
        <v>0</v>
      </c>
      <c r="E689" s="1">
        <v>0</v>
      </c>
      <c r="F689" s="1" t="s">
        <v>3</v>
      </c>
      <c r="G689" s="1" t="s">
        <v>3</v>
      </c>
      <c r="H689" s="1">
        <v>0</v>
      </c>
      <c r="I689" s="1">
        <v>1.0000000000000001E-5</v>
      </c>
      <c r="J689" s="1">
        <v>45</v>
      </c>
      <c r="K689" s="1">
        <v>84</v>
      </c>
      <c r="L689">
        <v>10862093</v>
      </c>
      <c r="M689">
        <v>-2911</v>
      </c>
      <c r="N689">
        <v>0</v>
      </c>
      <c r="O689" s="1">
        <v>-2911</v>
      </c>
      <c r="P689">
        <v>0</v>
      </c>
      <c r="Q689">
        <v>84</v>
      </c>
      <c r="R689">
        <v>0</v>
      </c>
      <c r="S689">
        <v>0</v>
      </c>
      <c r="T689">
        <v>0.99985999999999997</v>
      </c>
      <c r="U689" t="e">
        <f t="shared" si="70"/>
        <v>#DIV/0!</v>
      </c>
      <c r="V689" t="e">
        <f t="shared" si="71"/>
        <v>#DIV/0!</v>
      </c>
      <c r="W689">
        <f t="shared" si="72"/>
        <v>5.7008472032047598E-2</v>
      </c>
      <c r="X689" t="e">
        <f t="shared" si="73"/>
        <v>#DIV/0!</v>
      </c>
      <c r="Y689" t="e">
        <f t="shared" si="74"/>
        <v>#DIV/0!</v>
      </c>
      <c r="Z689">
        <f t="shared" si="75"/>
        <v>0</v>
      </c>
      <c r="AA689" t="e">
        <f t="shared" si="76"/>
        <v>#DIV/0!</v>
      </c>
    </row>
    <row r="690" spans="1:27" x14ac:dyDescent="0.35">
      <c r="A690" s="1">
        <v>0.291425994857892</v>
      </c>
      <c r="B690" s="1">
        <v>0.291425994857892</v>
      </c>
      <c r="C690" s="1">
        <v>-9.75952550902E-4</v>
      </c>
      <c r="D690" s="1">
        <v>0</v>
      </c>
      <c r="E690" s="1">
        <v>0</v>
      </c>
      <c r="F690" s="1" t="s">
        <v>3</v>
      </c>
      <c r="G690" s="1" t="s">
        <v>3</v>
      </c>
      <c r="H690" s="1">
        <v>0</v>
      </c>
      <c r="I690" s="1">
        <v>1</v>
      </c>
      <c r="J690" s="1">
        <v>-5259</v>
      </c>
      <c r="K690" s="1">
        <v>169181</v>
      </c>
      <c r="L690">
        <v>169181</v>
      </c>
      <c r="M690">
        <v>16074</v>
      </c>
      <c r="N690">
        <v>0</v>
      </c>
      <c r="O690" s="1">
        <v>16074</v>
      </c>
      <c r="P690">
        <v>0</v>
      </c>
      <c r="Q690">
        <v>169181</v>
      </c>
      <c r="R690">
        <v>0</v>
      </c>
      <c r="S690">
        <v>-5383</v>
      </c>
      <c r="T690">
        <v>-3.1350000000000003E-2</v>
      </c>
      <c r="U690" t="e">
        <f t="shared" si="70"/>
        <v>#DIV/0!</v>
      </c>
      <c r="V690" t="e">
        <f t="shared" si="71"/>
        <v>#DIV/0!</v>
      </c>
      <c r="W690">
        <f t="shared" si="72"/>
        <v>1.6002117199921975</v>
      </c>
      <c r="X690" t="e">
        <f t="shared" si="73"/>
        <v>#DIV/0!</v>
      </c>
      <c r="Y690" t="e">
        <f t="shared" si="74"/>
        <v>#DIV/0!</v>
      </c>
      <c r="Z690">
        <f t="shared" si="75"/>
        <v>0</v>
      </c>
      <c r="AA690" t="e">
        <f t="shared" si="76"/>
        <v>#DIV/0!</v>
      </c>
    </row>
    <row r="691" spans="1:27" x14ac:dyDescent="0.35">
      <c r="A691" s="1">
        <v>3.1257034220009499</v>
      </c>
      <c r="B691" s="1">
        <v>4.5267926175929398</v>
      </c>
      <c r="C691" s="1">
        <v>2.5183780325811998E-2</v>
      </c>
      <c r="D691" s="1">
        <v>39.458579999999998</v>
      </c>
      <c r="E691" s="1">
        <v>25.409700000000001</v>
      </c>
      <c r="F691" s="1">
        <v>1.43181</v>
      </c>
      <c r="G691" s="1">
        <v>2.8529300000000002</v>
      </c>
      <c r="H691" s="1">
        <v>0.37637239274930301</v>
      </c>
      <c r="I691" s="1">
        <v>0.12581999999999999</v>
      </c>
      <c r="J691" s="1">
        <v>91313569</v>
      </c>
      <c r="K691" s="1">
        <v>304690851</v>
      </c>
      <c r="L691">
        <v>2421567874</v>
      </c>
      <c r="M691">
        <v>36625346</v>
      </c>
      <c r="N691">
        <v>455737485</v>
      </c>
      <c r="O691" s="1">
        <v>36997374</v>
      </c>
      <c r="P691">
        <v>615313087</v>
      </c>
      <c r="Q691">
        <v>469128438</v>
      </c>
      <c r="R691">
        <v>164437587</v>
      </c>
      <c r="S691">
        <v>30494247</v>
      </c>
      <c r="T691">
        <v>8.26E-3</v>
      </c>
      <c r="U691">
        <f t="shared" si="70"/>
        <v>0.39054049742837799</v>
      </c>
      <c r="V691">
        <f t="shared" si="71"/>
        <v>-2.9089877244764692</v>
      </c>
      <c r="W691">
        <f t="shared" si="72"/>
        <v>0.30771949683537964</v>
      </c>
      <c r="X691">
        <f t="shared" si="73"/>
        <v>1</v>
      </c>
      <c r="Y691">
        <f t="shared" si="74"/>
        <v>0</v>
      </c>
      <c r="Z691">
        <f t="shared" si="75"/>
        <v>0</v>
      </c>
      <c r="AA691">
        <f t="shared" si="76"/>
        <v>0</v>
      </c>
    </row>
    <row r="692" spans="1:27" x14ac:dyDescent="0.35">
      <c r="A692" s="1">
        <v>1.1717820599966999</v>
      </c>
      <c r="B692" s="1">
        <v>0.55680179930812901</v>
      </c>
      <c r="C692" s="1">
        <v>1.6731051425173001E-2</v>
      </c>
      <c r="D692" s="1">
        <v>21.320399999999999</v>
      </c>
      <c r="E692" s="1">
        <v>15.08981</v>
      </c>
      <c r="F692" s="1">
        <v>2.5419499999999999</v>
      </c>
      <c r="G692" s="1">
        <v>2.1888299999999998</v>
      </c>
      <c r="H692" s="1">
        <v>0.46733845339652502</v>
      </c>
      <c r="I692" s="1">
        <v>0.13048999999999999</v>
      </c>
      <c r="J692" s="1">
        <v>-69546471</v>
      </c>
      <c r="K692" s="1">
        <v>425791031</v>
      </c>
      <c r="L692">
        <v>3263076419</v>
      </c>
      <c r="M692">
        <v>33504569</v>
      </c>
      <c r="N692">
        <v>1328326436</v>
      </c>
      <c r="O692" s="1">
        <v>33340262</v>
      </c>
      <c r="P692">
        <v>492392109</v>
      </c>
      <c r="Q692">
        <v>783949286</v>
      </c>
      <c r="R692">
        <v>358158255</v>
      </c>
      <c r="S692">
        <v>47555038</v>
      </c>
      <c r="T692">
        <v>8.26E-3</v>
      </c>
      <c r="U692">
        <f t="shared" si="70"/>
        <v>0.40371552234652075</v>
      </c>
      <c r="V692">
        <f t="shared" si="71"/>
        <v>-3.4771038003365629</v>
      </c>
      <c r="W692">
        <f t="shared" si="72"/>
        <v>0.32207684271736325</v>
      </c>
      <c r="X692">
        <f t="shared" si="73"/>
        <v>1</v>
      </c>
      <c r="Y692">
        <f t="shared" si="74"/>
        <v>0</v>
      </c>
      <c r="Z692">
        <f t="shared" si="75"/>
        <v>0</v>
      </c>
      <c r="AA692">
        <f t="shared" si="76"/>
        <v>0</v>
      </c>
    </row>
    <row r="693" spans="1:27" x14ac:dyDescent="0.35">
      <c r="A693" s="1">
        <v>2.3739369605054299</v>
      </c>
      <c r="B693" s="1">
        <v>1.47628996248235</v>
      </c>
      <c r="C693" s="1">
        <v>2.3833249578644002E-2</v>
      </c>
      <c r="D693" s="1">
        <v>29.120280000000001</v>
      </c>
      <c r="E693" s="1">
        <v>19.9145</v>
      </c>
      <c r="F693" s="1">
        <v>10.476330000000001</v>
      </c>
      <c r="G693" s="1">
        <v>1.9175899999999999</v>
      </c>
      <c r="H693" s="1">
        <v>0.55079546547246805</v>
      </c>
      <c r="I693" s="1">
        <v>0.11201999999999999</v>
      </c>
      <c r="J693" s="1">
        <v>19560148</v>
      </c>
      <c r="K693" s="1">
        <v>384823546</v>
      </c>
      <c r="L693">
        <v>3435221162</v>
      </c>
      <c r="M693">
        <v>90588583</v>
      </c>
      <c r="N693">
        <v>1844695967</v>
      </c>
      <c r="O693" s="1">
        <v>79983551</v>
      </c>
      <c r="P693">
        <v>684107019</v>
      </c>
      <c r="Q693">
        <v>804207634</v>
      </c>
      <c r="R693">
        <v>419384088</v>
      </c>
      <c r="S693">
        <v>79821099</v>
      </c>
      <c r="T693">
        <v>1.456E-2</v>
      </c>
      <c r="U693">
        <f t="shared" si="70"/>
        <v>0.54407888508931868</v>
      </c>
      <c r="V693">
        <f t="shared" si="71"/>
        <v>-3.2619784947916459</v>
      </c>
      <c r="W693">
        <f t="shared" si="72"/>
        <v>0.32130601288663113</v>
      </c>
      <c r="X693">
        <f t="shared" si="73"/>
        <v>1</v>
      </c>
      <c r="Y693">
        <f t="shared" si="74"/>
        <v>0</v>
      </c>
      <c r="Z693">
        <f t="shared" si="75"/>
        <v>0</v>
      </c>
      <c r="AA693">
        <f t="shared" si="76"/>
        <v>0</v>
      </c>
    </row>
    <row r="694" spans="1:27" x14ac:dyDescent="0.35">
      <c r="A694" s="1" t="s">
        <v>3</v>
      </c>
      <c r="B694" s="1" t="s">
        <v>3</v>
      </c>
      <c r="C694" s="1" t="s">
        <v>3</v>
      </c>
      <c r="D694" s="1" t="s">
        <v>3</v>
      </c>
      <c r="E694" s="1" t="s">
        <v>3</v>
      </c>
      <c r="F694" s="1" t="s">
        <v>3</v>
      </c>
      <c r="G694" s="1" t="s">
        <v>3</v>
      </c>
      <c r="H694" s="1" t="s">
        <v>3</v>
      </c>
      <c r="I694" s="1" t="s">
        <v>3</v>
      </c>
      <c r="J694" s="1" t="s">
        <v>3</v>
      </c>
      <c r="K694" s="1" t="s">
        <v>3</v>
      </c>
      <c r="L694" s="1" t="s">
        <v>3</v>
      </c>
      <c r="M694" s="1" t="s">
        <v>3</v>
      </c>
      <c r="N694" s="1" t="s">
        <v>3</v>
      </c>
      <c r="O694" s="1" t="s">
        <v>3</v>
      </c>
      <c r="P694" s="1" t="s">
        <v>3</v>
      </c>
      <c r="Q694" s="1" t="s">
        <v>3</v>
      </c>
      <c r="R694" s="1" t="s">
        <v>3</v>
      </c>
      <c r="S694" s="1" t="s">
        <v>3</v>
      </c>
      <c r="T694" s="1" t="s">
        <v>3</v>
      </c>
      <c r="U694" t="e">
        <f t="shared" si="70"/>
        <v>#VALUE!</v>
      </c>
      <c r="V694" t="e">
        <f t="shared" si="71"/>
        <v>#VALUE!</v>
      </c>
      <c r="W694" t="e">
        <f t="shared" si="72"/>
        <v>#VALUE!</v>
      </c>
      <c r="X694" t="e">
        <f t="shared" si="73"/>
        <v>#VALUE!</v>
      </c>
      <c r="Y694" t="e">
        <f t="shared" si="74"/>
        <v>#VALUE!</v>
      </c>
      <c r="Z694" t="e">
        <f t="shared" si="75"/>
        <v>#VALUE!</v>
      </c>
      <c r="AA694" t="e">
        <f t="shared" si="76"/>
        <v>#VALUE!</v>
      </c>
    </row>
    <row r="695" spans="1:27" x14ac:dyDescent="0.35">
      <c r="A695" s="1">
        <v>-66.303603801891299</v>
      </c>
      <c r="B695" s="1">
        <v>-222.860830339736</v>
      </c>
      <c r="C695" s="1">
        <v>-0.70749374080402905</v>
      </c>
      <c r="D695" s="1" t="s">
        <v>3</v>
      </c>
      <c r="E695" s="1">
        <v>91.724930000000001</v>
      </c>
      <c r="F695" s="1">
        <v>-85.993070000000003</v>
      </c>
      <c r="G695" s="1" t="s">
        <v>3</v>
      </c>
      <c r="H695" s="1">
        <v>7.66660065851E-3</v>
      </c>
      <c r="I695" s="1" t="s">
        <v>3</v>
      </c>
      <c r="J695" s="1">
        <v>-7871279000</v>
      </c>
      <c r="K695" s="1" t="s">
        <v>3</v>
      </c>
      <c r="L695">
        <v>61269635000</v>
      </c>
      <c r="M695" s="1">
        <v>-84700758000</v>
      </c>
      <c r="N695" s="1">
        <v>979384000</v>
      </c>
      <c r="O695" s="1">
        <v>-84700758000</v>
      </c>
      <c r="P695" s="1">
        <v>56199529000</v>
      </c>
      <c r="Q695" s="1" t="s">
        <v>3</v>
      </c>
      <c r="R695" s="1" t="s">
        <v>3</v>
      </c>
      <c r="S695" s="1">
        <v>-90380089000</v>
      </c>
      <c r="T695" s="1">
        <v>-33.142200000000003</v>
      </c>
      <c r="U695" t="e">
        <f t="shared" si="70"/>
        <v>#VALUE!</v>
      </c>
      <c r="V695" t="e">
        <f t="shared" si="71"/>
        <v>#VALUE!</v>
      </c>
      <c r="W695" t="e">
        <f t="shared" si="72"/>
        <v>#VALUE!</v>
      </c>
      <c r="X695" t="e">
        <f t="shared" si="73"/>
        <v>#VALUE!</v>
      </c>
      <c r="Y695" t="e">
        <f t="shared" si="74"/>
        <v>#VALUE!</v>
      </c>
      <c r="Z695" t="e">
        <f t="shared" si="75"/>
        <v>#VALUE!</v>
      </c>
      <c r="AA695" t="e">
        <f t="shared" si="76"/>
        <v>#VALUE!</v>
      </c>
    </row>
    <row r="696" spans="1:27" x14ac:dyDescent="0.35">
      <c r="A696" s="1">
        <v>31.457489506192601</v>
      </c>
      <c r="B696" s="1">
        <v>288.66551876498698</v>
      </c>
      <c r="C696" s="1">
        <v>-7.3326746534598003E-2</v>
      </c>
      <c r="D696" s="1">
        <v>218.72972999999999</v>
      </c>
      <c r="E696" s="1">
        <v>57.534080000000003</v>
      </c>
      <c r="F696" s="1" t="s">
        <v>3</v>
      </c>
      <c r="G696" s="1" t="s">
        <v>3</v>
      </c>
      <c r="H696" s="1">
        <v>4.1094826625326999E-2</v>
      </c>
      <c r="I696" s="1" t="s">
        <v>3</v>
      </c>
      <c r="J696" s="1">
        <v>9582549000</v>
      </c>
      <c r="K696" s="1" t="s">
        <v>3</v>
      </c>
      <c r="L696" s="1">
        <v>70838040000</v>
      </c>
      <c r="M696" s="1">
        <v>20778879000</v>
      </c>
      <c r="N696" s="1">
        <v>2714471000</v>
      </c>
      <c r="O696" s="1">
        <v>20778879000</v>
      </c>
      <c r="P696" s="1">
        <v>40756012000</v>
      </c>
      <c r="Q696" s="1" t="s">
        <v>3</v>
      </c>
      <c r="R696" s="1" t="s">
        <v>3</v>
      </c>
      <c r="S696" s="1">
        <v>-4843513000</v>
      </c>
      <c r="T696" s="1">
        <v>-28.385860000000001</v>
      </c>
      <c r="U696" t="e">
        <f t="shared" si="70"/>
        <v>#VALUE!</v>
      </c>
      <c r="V696" t="e">
        <f t="shared" si="71"/>
        <v>#VALUE!</v>
      </c>
      <c r="W696" t="e">
        <f t="shared" si="72"/>
        <v>#VALUE!</v>
      </c>
      <c r="X696" t="e">
        <f t="shared" si="73"/>
        <v>#VALUE!</v>
      </c>
      <c r="Y696" t="e">
        <f t="shared" si="74"/>
        <v>#VALUE!</v>
      </c>
      <c r="Z696" t="e">
        <f t="shared" si="75"/>
        <v>#VALUE!</v>
      </c>
      <c r="AA696" t="e">
        <f t="shared" si="76"/>
        <v>#VALUE!</v>
      </c>
    </row>
    <row r="697" spans="1:27" x14ac:dyDescent="0.35">
      <c r="A697" s="1">
        <v>0.12959333664651901</v>
      </c>
      <c r="B697" s="1">
        <v>-0.41742587377836698</v>
      </c>
      <c r="C697" s="1">
        <v>3.0358847292779999E-3</v>
      </c>
      <c r="D697" s="1">
        <v>493.12178</v>
      </c>
      <c r="E697" s="1">
        <v>64.461950000000002</v>
      </c>
      <c r="F697" s="1" t="s">
        <v>3</v>
      </c>
      <c r="G697" s="1" t="s">
        <v>3</v>
      </c>
      <c r="H697" s="1">
        <v>0.14465824626752399</v>
      </c>
      <c r="I697" s="1" t="s">
        <v>3</v>
      </c>
      <c r="J697" s="1">
        <v>-12902047000</v>
      </c>
      <c r="K697" s="1" t="s">
        <v>3</v>
      </c>
      <c r="L697" s="1">
        <v>143720831000</v>
      </c>
      <c r="M697" s="1">
        <v>139027000</v>
      </c>
      <c r="N697" s="1">
        <v>15518855000</v>
      </c>
      <c r="O697" s="1">
        <v>139027000</v>
      </c>
      <c r="P697" s="1">
        <v>92645245000</v>
      </c>
      <c r="Q697" s="1" t="s">
        <v>3</v>
      </c>
      <c r="R697" s="1" t="s">
        <v>3</v>
      </c>
      <c r="S697" s="1">
        <v>325688000</v>
      </c>
      <c r="T697" s="1">
        <v>-13.9915</v>
      </c>
      <c r="U697" t="e">
        <f t="shared" si="70"/>
        <v>#VALUE!</v>
      </c>
      <c r="V697" t="e">
        <f t="shared" si="71"/>
        <v>#VALUE!</v>
      </c>
      <c r="W697" t="e">
        <f t="shared" si="72"/>
        <v>#VALUE!</v>
      </c>
      <c r="X697" t="e">
        <f t="shared" si="73"/>
        <v>#VALUE!</v>
      </c>
      <c r="Y697" t="e">
        <f t="shared" si="74"/>
        <v>#VALUE!</v>
      </c>
      <c r="Z697" t="e">
        <f t="shared" si="75"/>
        <v>#VALUE!</v>
      </c>
      <c r="AA697" t="e">
        <f t="shared" si="76"/>
        <v>#VALUE!</v>
      </c>
    </row>
    <row r="698" spans="1:27" x14ac:dyDescent="0.35">
      <c r="A698" s="1">
        <v>0.458801731737772</v>
      </c>
      <c r="B698" s="1">
        <v>3.7014031038387101</v>
      </c>
      <c r="C698" s="1">
        <v>3.7421644402050001E-3</v>
      </c>
      <c r="D698" s="1">
        <v>729.21914000000004</v>
      </c>
      <c r="E698" s="1">
        <v>64.441800000000001</v>
      </c>
      <c r="F698" s="1" t="s">
        <v>3</v>
      </c>
      <c r="G698" s="1" t="s">
        <v>3</v>
      </c>
      <c r="H698" s="1">
        <v>0.16810954411951101</v>
      </c>
      <c r="I698" s="1" t="s">
        <v>3</v>
      </c>
      <c r="J698" s="1">
        <v>-34486654274</v>
      </c>
      <c r="K698" s="1" t="s">
        <v>3</v>
      </c>
      <c r="L698" s="1">
        <v>220316434002</v>
      </c>
      <c r="M698" s="1">
        <v>835104638</v>
      </c>
      <c r="N698" s="1">
        <v>30599069331</v>
      </c>
      <c r="O698" s="1">
        <v>835104638</v>
      </c>
      <c r="P698" s="1">
        <v>141975864761</v>
      </c>
      <c r="Q698" s="1" t="s">
        <v>3</v>
      </c>
      <c r="R698" s="1" t="s">
        <v>3</v>
      </c>
      <c r="S698" s="1">
        <v>681143654</v>
      </c>
      <c r="T698" s="1">
        <v>-9.1242900000000002</v>
      </c>
      <c r="U698" t="e">
        <f t="shared" si="70"/>
        <v>#VALUE!</v>
      </c>
      <c r="V698" t="e">
        <f t="shared" si="71"/>
        <v>#VALUE!</v>
      </c>
      <c r="W698" t="e">
        <f t="shared" si="72"/>
        <v>#VALUE!</v>
      </c>
      <c r="X698" t="e">
        <f t="shared" si="73"/>
        <v>#VALUE!</v>
      </c>
      <c r="Y698" t="e">
        <f t="shared" si="74"/>
        <v>#VALUE!</v>
      </c>
      <c r="Z698" t="e">
        <f t="shared" si="75"/>
        <v>#VALUE!</v>
      </c>
      <c r="AA698" t="e">
        <f t="shared" si="76"/>
        <v>#VALUE!</v>
      </c>
    </row>
    <row r="699" spans="1:27" x14ac:dyDescent="0.35">
      <c r="A699" s="1">
        <v>1.2200037369194201</v>
      </c>
      <c r="B699" s="1">
        <v>13.4225856887562</v>
      </c>
      <c r="C699" s="1">
        <v>8.2853243936349998E-3</v>
      </c>
      <c r="D699" s="1">
        <v>598.96819000000005</v>
      </c>
      <c r="E699" s="1">
        <v>60.04504</v>
      </c>
      <c r="F699" s="1">
        <v>269.32060999999999</v>
      </c>
      <c r="G699" s="1" t="s">
        <v>3</v>
      </c>
      <c r="H699" s="1">
        <v>0.119471059598486</v>
      </c>
      <c r="I699" s="1" t="s">
        <v>3</v>
      </c>
      <c r="J699" s="1">
        <v>23777137797</v>
      </c>
      <c r="K699" s="1" t="s">
        <v>3</v>
      </c>
      <c r="L699" s="1">
        <v>219553987342</v>
      </c>
      <c r="M699" s="1">
        <v>2683217789</v>
      </c>
      <c r="N699" s="1">
        <v>26275892662</v>
      </c>
      <c r="O699" s="1">
        <v>2683217789</v>
      </c>
      <c r="P699" s="1">
        <v>131831287377</v>
      </c>
      <c r="Q699" s="1" t="s">
        <v>3</v>
      </c>
      <c r="R699" s="1" t="s">
        <v>3</v>
      </c>
      <c r="S699" s="1">
        <v>1822234566</v>
      </c>
      <c r="T699" s="1">
        <v>-9.1445100000000004</v>
      </c>
      <c r="U699" t="e">
        <f t="shared" si="70"/>
        <v>#VALUE!</v>
      </c>
      <c r="V699" t="e">
        <f t="shared" si="71"/>
        <v>#VALUE!</v>
      </c>
      <c r="W699" t="e">
        <f t="shared" si="72"/>
        <v>#VALUE!</v>
      </c>
      <c r="X699" t="e">
        <f t="shared" si="73"/>
        <v>#VALUE!</v>
      </c>
      <c r="Y699" t="e">
        <f t="shared" si="74"/>
        <v>#VALUE!</v>
      </c>
      <c r="Z699" t="e">
        <f t="shared" si="75"/>
        <v>#VALUE!</v>
      </c>
      <c r="AA699" t="e">
        <f t="shared" si="76"/>
        <v>#VALUE!</v>
      </c>
    </row>
    <row r="700" spans="1:27" x14ac:dyDescent="0.35">
      <c r="A700" s="1">
        <v>1.1697567141376499</v>
      </c>
      <c r="B700" s="1">
        <v>4.8759251438645501</v>
      </c>
      <c r="C700" s="1">
        <v>1.0510257042670001E-3</v>
      </c>
      <c r="D700" s="1">
        <v>182.99958000000001</v>
      </c>
      <c r="E700" s="1">
        <v>52.74915</v>
      </c>
      <c r="F700" s="1">
        <v>3.8182900000000002</v>
      </c>
      <c r="G700" s="1" t="s">
        <v>3</v>
      </c>
      <c r="H700" s="1">
        <v>0.114972279373908</v>
      </c>
      <c r="I700" s="1" t="s">
        <v>3</v>
      </c>
      <c r="J700" s="1">
        <v>-55673321999</v>
      </c>
      <c r="K700" s="1" t="s">
        <v>3</v>
      </c>
      <c r="L700" s="1">
        <v>523486567070</v>
      </c>
      <c r="M700" s="1">
        <v>900925288</v>
      </c>
      <c r="N700" s="1">
        <v>42714533104</v>
      </c>
      <c r="O700" s="1">
        <v>4345883387</v>
      </c>
      <c r="P700" s="1">
        <v>276134730783</v>
      </c>
      <c r="Q700" s="1" t="s">
        <v>3</v>
      </c>
      <c r="R700" s="1" t="s">
        <v>3</v>
      </c>
      <c r="S700" s="1">
        <v>390477361</v>
      </c>
      <c r="T700" s="1">
        <v>-3.8278300000000001</v>
      </c>
      <c r="U700" t="e">
        <f t="shared" si="70"/>
        <v>#VALUE!</v>
      </c>
      <c r="V700" t="e">
        <f t="shared" si="71"/>
        <v>#VALUE!</v>
      </c>
      <c r="W700" t="e">
        <f t="shared" si="72"/>
        <v>#VALUE!</v>
      </c>
      <c r="X700" t="e">
        <f t="shared" si="73"/>
        <v>#VALUE!</v>
      </c>
      <c r="Y700" t="e">
        <f t="shared" si="74"/>
        <v>#VALUE!</v>
      </c>
      <c r="Z700" t="e">
        <f t="shared" si="75"/>
        <v>#VALUE!</v>
      </c>
      <c r="AA700" t="e">
        <f t="shared" si="76"/>
        <v>#VALUE!</v>
      </c>
    </row>
    <row r="701" spans="1:27" x14ac:dyDescent="0.35">
      <c r="A701" s="1">
        <v>-2.1140577587115201</v>
      </c>
      <c r="B701" s="1">
        <v>-8.5355905375005392</v>
      </c>
      <c r="C701" s="1">
        <v>-2.6718672136032001E-2</v>
      </c>
      <c r="D701" s="1">
        <v>121.01414</v>
      </c>
      <c r="E701" s="1">
        <v>26.62593</v>
      </c>
      <c r="F701" s="1" t="s">
        <v>3</v>
      </c>
      <c r="G701" s="1" t="s">
        <v>3</v>
      </c>
      <c r="H701" s="1">
        <v>7.2062078747350003E-2</v>
      </c>
      <c r="I701" s="1" t="s">
        <v>3</v>
      </c>
      <c r="J701" s="1">
        <v>-110430759132</v>
      </c>
      <c r="K701" s="1" t="s">
        <v>3</v>
      </c>
      <c r="L701" s="1">
        <v>628004295925</v>
      </c>
      <c r="M701" s="1">
        <v>-15906343838</v>
      </c>
      <c r="N701" s="1">
        <v>41489412623</v>
      </c>
      <c r="O701" s="1">
        <v>-12171590965</v>
      </c>
      <c r="P701" s="1">
        <v>167212008427</v>
      </c>
      <c r="Q701" s="1" t="s">
        <v>3</v>
      </c>
      <c r="R701" s="1" t="s">
        <v>3</v>
      </c>
      <c r="S701" s="1">
        <v>-15383153418</v>
      </c>
      <c r="T701" s="1">
        <v>-3.2077599999999999</v>
      </c>
      <c r="U701" t="e">
        <f t="shared" si="70"/>
        <v>#VALUE!</v>
      </c>
      <c r="V701" t="e">
        <f t="shared" si="71"/>
        <v>#VALUE!</v>
      </c>
      <c r="W701" t="e">
        <f t="shared" si="72"/>
        <v>#VALUE!</v>
      </c>
      <c r="X701" t="e">
        <f t="shared" si="73"/>
        <v>#VALUE!</v>
      </c>
      <c r="Y701" t="e">
        <f t="shared" si="74"/>
        <v>#VALUE!</v>
      </c>
      <c r="Z701" t="e">
        <f t="shared" si="75"/>
        <v>#VALUE!</v>
      </c>
      <c r="AA701" t="e">
        <f t="shared" si="76"/>
        <v>#VALUE!</v>
      </c>
    </row>
    <row r="702" spans="1:27" x14ac:dyDescent="0.35">
      <c r="A702" s="1">
        <v>-5.4304610937776197</v>
      </c>
      <c r="B702" s="1">
        <v>-31.408154526525401</v>
      </c>
      <c r="C702" s="1">
        <v>-6.5281383599987003E-2</v>
      </c>
      <c r="D702" s="1">
        <v>211.65536</v>
      </c>
      <c r="E702" s="1">
        <v>28.045059999999999</v>
      </c>
      <c r="F702" s="1" t="s">
        <v>3</v>
      </c>
      <c r="G702" s="1" t="s">
        <v>3</v>
      </c>
      <c r="H702" s="1">
        <v>6.9639723132001993E-2</v>
      </c>
      <c r="I702" s="1" t="s">
        <v>3</v>
      </c>
      <c r="J702" s="1">
        <v>-52621550547</v>
      </c>
      <c r="K702" s="1" t="s">
        <v>3</v>
      </c>
      <c r="L702" s="1">
        <v>757446676778</v>
      </c>
      <c r="M702" s="1">
        <v>-40440900572</v>
      </c>
      <c r="N702" s="1">
        <v>48241211076</v>
      </c>
      <c r="O702" s="1">
        <v>-37618188023</v>
      </c>
      <c r="P702" s="1">
        <v>212426396571</v>
      </c>
      <c r="Q702" s="1" t="s">
        <v>3</v>
      </c>
      <c r="R702" s="1" t="s">
        <v>3</v>
      </c>
      <c r="S702" s="1">
        <v>-45222078204</v>
      </c>
      <c r="T702" s="1">
        <v>-2.7085499999999998</v>
      </c>
      <c r="U702" t="e">
        <f t="shared" si="70"/>
        <v>#VALUE!</v>
      </c>
      <c r="V702" t="e">
        <f t="shared" si="71"/>
        <v>#VALUE!</v>
      </c>
      <c r="W702" t="e">
        <f t="shared" si="72"/>
        <v>#VALUE!</v>
      </c>
      <c r="X702" t="e">
        <f t="shared" si="73"/>
        <v>#VALUE!</v>
      </c>
      <c r="Y702" t="e">
        <f t="shared" si="74"/>
        <v>#VALUE!</v>
      </c>
      <c r="Z702" t="e">
        <f t="shared" si="75"/>
        <v>#VALUE!</v>
      </c>
      <c r="AA702" t="e">
        <f t="shared" si="76"/>
        <v>#VALUE!</v>
      </c>
    </row>
    <row r="703" spans="1:27" x14ac:dyDescent="0.35">
      <c r="A703" s="1">
        <v>26.663084113473399</v>
      </c>
      <c r="B703" s="1">
        <v>103.43109538580801</v>
      </c>
      <c r="C703" s="1">
        <v>0.17908254160176701</v>
      </c>
      <c r="D703" s="1">
        <v>61.892899999999997</v>
      </c>
      <c r="E703" s="1">
        <v>23.25093</v>
      </c>
      <c r="F703" s="1" t="s">
        <v>3</v>
      </c>
      <c r="G703" s="1" t="s">
        <v>3</v>
      </c>
      <c r="H703" s="1">
        <v>0.51989577060720504</v>
      </c>
      <c r="I703" s="1" t="s">
        <v>3</v>
      </c>
      <c r="J703" s="1">
        <v>-50306664740</v>
      </c>
      <c r="K703" s="1" t="s">
        <v>3</v>
      </c>
      <c r="L703" s="1">
        <v>818100288975</v>
      </c>
      <c r="M703" s="1">
        <v>195925042722</v>
      </c>
      <c r="N703" s="1">
        <v>409560101944</v>
      </c>
      <c r="O703" s="1">
        <v>210044706363</v>
      </c>
      <c r="P703" s="1">
        <v>190215887980</v>
      </c>
      <c r="Q703" s="1" t="s">
        <v>3</v>
      </c>
      <c r="R703" s="1" t="s">
        <v>3</v>
      </c>
      <c r="S703" s="1">
        <v>141076477520</v>
      </c>
      <c r="T703" s="1">
        <v>-2.2508300000000001</v>
      </c>
      <c r="U703" t="e">
        <f t="shared" si="70"/>
        <v>#VALUE!</v>
      </c>
      <c r="V703" t="e">
        <f t="shared" si="71"/>
        <v>#VALUE!</v>
      </c>
      <c r="W703" t="e">
        <f t="shared" si="72"/>
        <v>#VALUE!</v>
      </c>
      <c r="X703" t="e">
        <f t="shared" si="73"/>
        <v>#VALUE!</v>
      </c>
      <c r="Y703" t="e">
        <f t="shared" si="74"/>
        <v>#VALUE!</v>
      </c>
      <c r="Z703" t="e">
        <f t="shared" si="75"/>
        <v>#VALUE!</v>
      </c>
      <c r="AA703" t="e">
        <f t="shared" si="76"/>
        <v>#VALUE!</v>
      </c>
    </row>
    <row r="704" spans="1:27" x14ac:dyDescent="0.35">
      <c r="A704" s="1">
        <v>-80.855567114979607</v>
      </c>
      <c r="B704" s="1">
        <v>-179.77905999405201</v>
      </c>
      <c r="C704" s="1">
        <v>-3.0466369602674001E-2</v>
      </c>
      <c r="D704" s="1" t="s">
        <v>3</v>
      </c>
      <c r="E704" s="1" t="s">
        <v>3</v>
      </c>
      <c r="F704" s="1">
        <v>-0.94177999999999995</v>
      </c>
      <c r="G704" s="1" t="s">
        <v>3</v>
      </c>
      <c r="H704" s="1">
        <v>3.3458481686465001E-2</v>
      </c>
      <c r="I704" s="1" t="s">
        <v>3</v>
      </c>
      <c r="J704" s="1">
        <v>-19810159103</v>
      </c>
      <c r="K704" s="1" t="s">
        <v>3</v>
      </c>
      <c r="L704" s="1">
        <v>3071795345968</v>
      </c>
      <c r="M704" s="1">
        <v>-1522320554974</v>
      </c>
      <c r="N704" s="1">
        <v>65075000932</v>
      </c>
      <c r="O704" s="1">
        <v>-1572598587907</v>
      </c>
      <c r="P704" s="1" t="s">
        <v>3</v>
      </c>
      <c r="Q704" s="1" t="s">
        <v>3</v>
      </c>
      <c r="R704" s="1" t="s">
        <v>3</v>
      </c>
      <c r="S704" s="1">
        <v>-59255499065</v>
      </c>
      <c r="T704" s="1">
        <v>-1.11103</v>
      </c>
      <c r="U704" t="e">
        <f t="shared" si="70"/>
        <v>#VALUE!</v>
      </c>
      <c r="V704" t="e">
        <f t="shared" si="71"/>
        <v>#VALUE!</v>
      </c>
      <c r="W704" t="e">
        <f t="shared" si="72"/>
        <v>#VALUE!</v>
      </c>
      <c r="X704" t="e">
        <f t="shared" si="73"/>
        <v>#VALUE!</v>
      </c>
      <c r="Y704" t="e">
        <f t="shared" si="74"/>
        <v>#VALUE!</v>
      </c>
      <c r="Z704" t="e">
        <f t="shared" si="75"/>
        <v>#VALUE!</v>
      </c>
      <c r="AA704" t="e">
        <f t="shared" si="76"/>
        <v>#VALUE!</v>
      </c>
    </row>
    <row r="705" spans="1:27" x14ac:dyDescent="0.35">
      <c r="A705" s="1">
        <v>-10.6021181126413</v>
      </c>
      <c r="B705" s="1">
        <v>-19.038098370368001</v>
      </c>
      <c r="C705" s="1">
        <v>5.8217659855379997E-3</v>
      </c>
      <c r="D705" s="1" t="s">
        <v>3</v>
      </c>
      <c r="E705" s="1" t="s">
        <v>3</v>
      </c>
      <c r="F705" s="1">
        <v>0.64041999999999999</v>
      </c>
      <c r="G705" s="1" t="s">
        <v>3</v>
      </c>
      <c r="H705" s="1">
        <v>1.0238447076489E-2</v>
      </c>
      <c r="I705" s="1" t="s">
        <v>3</v>
      </c>
      <c r="J705" s="1">
        <v>-6249500921</v>
      </c>
      <c r="K705" s="1" t="s">
        <v>3</v>
      </c>
      <c r="L705" s="1">
        <v>1662833937736</v>
      </c>
      <c r="M705" s="1">
        <v>-251085167588</v>
      </c>
      <c r="N705" s="1">
        <v>24237625674</v>
      </c>
      <c r="O705" s="1">
        <v>-250985494427</v>
      </c>
      <c r="P705" s="1" t="s">
        <v>3</v>
      </c>
      <c r="Q705" s="1" t="s">
        <v>3</v>
      </c>
      <c r="R705" s="1" t="s">
        <v>3</v>
      </c>
      <c r="S705" s="1">
        <v>13781951859</v>
      </c>
      <c r="T705" s="1">
        <v>-2.2014800000000001</v>
      </c>
      <c r="U705" t="e">
        <f t="shared" si="70"/>
        <v>#VALUE!</v>
      </c>
      <c r="V705" t="e">
        <f t="shared" si="71"/>
        <v>#VALUE!</v>
      </c>
      <c r="W705" t="e">
        <f t="shared" si="72"/>
        <v>#VALUE!</v>
      </c>
      <c r="X705" t="e">
        <f t="shared" si="73"/>
        <v>#VALUE!</v>
      </c>
      <c r="Y705" t="e">
        <f t="shared" si="74"/>
        <v>#VALUE!</v>
      </c>
      <c r="Z705" t="e">
        <f t="shared" si="75"/>
        <v>#VALUE!</v>
      </c>
      <c r="AA705" t="e">
        <f t="shared" si="76"/>
        <v>#VALUE!</v>
      </c>
    </row>
    <row r="706" spans="1:27" x14ac:dyDescent="0.35">
      <c r="A706" s="1">
        <v>-122.95797441372299</v>
      </c>
      <c r="B706" s="1">
        <v>-205.13735229292601</v>
      </c>
      <c r="C706" s="1">
        <v>-1.4522748912681E-2</v>
      </c>
      <c r="D706" s="1" t="s">
        <v>3</v>
      </c>
      <c r="E706" s="1" t="s">
        <v>3</v>
      </c>
      <c r="F706" s="1">
        <v>-1.59765</v>
      </c>
      <c r="G706" s="1" t="s">
        <v>3</v>
      </c>
      <c r="H706" s="1">
        <v>1.0648292217471E-2</v>
      </c>
      <c r="I706" s="1" t="s">
        <v>3</v>
      </c>
      <c r="J706" s="1">
        <v>1999531075</v>
      </c>
      <c r="K706" s="1" t="s">
        <v>3</v>
      </c>
      <c r="L706" s="1">
        <v>308063941040</v>
      </c>
      <c r="M706" s="1">
        <v>-1209972967693</v>
      </c>
      <c r="N706" s="1">
        <v>10493348272</v>
      </c>
      <c r="O706" s="1">
        <v>-1211688054753</v>
      </c>
      <c r="P706" s="1" t="s">
        <v>3</v>
      </c>
      <c r="Q706" s="1" t="s">
        <v>3</v>
      </c>
      <c r="R706" s="1" t="s">
        <v>3</v>
      </c>
      <c r="S706" s="1">
        <v>-14311427513</v>
      </c>
      <c r="T706" s="1">
        <v>-15.801920000000001</v>
      </c>
      <c r="U706" t="e">
        <f t="shared" ref="U706:U769" si="77">1.03*(K706/L706) + 3.07*(S706/L706) + 0.66*(M706/R706) +0.4*(N706/L706)</f>
        <v>#VALUE!</v>
      </c>
      <c r="V706" t="e">
        <f t="shared" ref="V706:V769" si="78">-4.3-4.5*(O706/L706)+5.7*(P706/L706)+0.004*(Q706/R706)</f>
        <v>#VALUE!</v>
      </c>
      <c r="W706" t="e">
        <f t="shared" ref="W706:W769" si="79">0.057+1.65*(K706/L706)+3.404*(S706/L706)+0.016*(O706/L706)</f>
        <v>#VALUE!</v>
      </c>
      <c r="X706" t="e">
        <f t="shared" si="73"/>
        <v>#VALUE!</v>
      </c>
      <c r="Y706" t="e">
        <f t="shared" si="74"/>
        <v>#VALUE!</v>
      </c>
      <c r="Z706" t="e">
        <f t="shared" si="75"/>
        <v>#VALUE!</v>
      </c>
      <c r="AA706" t="e">
        <f t="shared" si="76"/>
        <v>#VALUE!</v>
      </c>
    </row>
    <row r="707" spans="1:27" x14ac:dyDescent="0.35">
      <c r="A707" s="1">
        <v>2.6557272733242199</v>
      </c>
      <c r="B707" s="1" t="s">
        <v>3</v>
      </c>
      <c r="C707" s="1">
        <v>5.3876576968207003E-2</v>
      </c>
      <c r="D707" s="1" t="s">
        <v>3</v>
      </c>
      <c r="E707" s="1" t="s">
        <v>3</v>
      </c>
      <c r="F707" s="1">
        <v>2.62323</v>
      </c>
      <c r="G707" s="1" t="s">
        <v>3</v>
      </c>
      <c r="H707" s="1">
        <v>0.85036810396090701</v>
      </c>
      <c r="I707" s="1" t="s">
        <v>3</v>
      </c>
      <c r="J707" s="1">
        <v>-30826885408</v>
      </c>
      <c r="K707" s="1" t="s">
        <v>3</v>
      </c>
      <c r="L707" s="1">
        <v>771042697125</v>
      </c>
      <c r="M707" s="1">
        <v>17941586011</v>
      </c>
      <c r="N707" s="1">
        <v>458818932934</v>
      </c>
      <c r="O707" s="1">
        <v>14329064649</v>
      </c>
      <c r="P707" s="1" t="s">
        <v>3</v>
      </c>
      <c r="Q707" s="1" t="s">
        <v>3</v>
      </c>
      <c r="R707" s="1" t="s">
        <v>3</v>
      </c>
      <c r="S707" s="1">
        <v>29069285924</v>
      </c>
      <c r="T707" s="1">
        <v>-6.2910500000000003</v>
      </c>
      <c r="U707" t="e">
        <f t="shared" si="77"/>
        <v>#VALUE!</v>
      </c>
      <c r="V707" t="e">
        <f t="shared" si="78"/>
        <v>#VALUE!</v>
      </c>
      <c r="W707" t="e">
        <f t="shared" si="79"/>
        <v>#VALUE!</v>
      </c>
      <c r="X707" t="e">
        <f t="shared" ref="X707:X770" si="80">IF(U707&gt;=0.862,0,1)</f>
        <v>#VALUE!</v>
      </c>
      <c r="Y707" t="e">
        <f t="shared" ref="Y707:Y770" si="81">IF(V707&lt;=0,0,1)</f>
        <v>#VALUE!</v>
      </c>
      <c r="Z707" t="e">
        <f t="shared" ref="Z707:Z770" si="82">IF(W707&gt;=0.01,0,1)</f>
        <v>#VALUE!</v>
      </c>
      <c r="AA707" t="e">
        <f t="shared" ref="AA707:AA770" si="83">IF(SUM(X707:Z707)&gt;=2,1,0)</f>
        <v>#VALUE!</v>
      </c>
    </row>
    <row r="708" spans="1:27" x14ac:dyDescent="0.35">
      <c r="A708" s="1">
        <v>0.92097051803580299</v>
      </c>
      <c r="B708" s="1">
        <v>155.95541615534401</v>
      </c>
      <c r="C708" s="1">
        <v>-1.0937219717684001E-2</v>
      </c>
      <c r="D708" s="1" t="s">
        <v>3</v>
      </c>
      <c r="E708" s="1" t="s">
        <v>3</v>
      </c>
      <c r="F708" s="1">
        <v>-0.85914000000000001</v>
      </c>
      <c r="G708" s="1" t="s">
        <v>3</v>
      </c>
      <c r="H708" s="1">
        <v>0.60757909835242896</v>
      </c>
      <c r="I708" s="1" t="s">
        <v>3</v>
      </c>
      <c r="J708" s="1">
        <v>5815112861</v>
      </c>
      <c r="K708" s="1" t="s">
        <v>3</v>
      </c>
      <c r="L708" s="1">
        <v>1126221625219</v>
      </c>
      <c r="M708" s="1">
        <v>11779940857</v>
      </c>
      <c r="N708" s="1">
        <v>576369073153</v>
      </c>
      <c r="O708" s="1">
        <v>8736622529</v>
      </c>
      <c r="P708" s="1" t="s">
        <v>3</v>
      </c>
      <c r="Q708" s="1" t="s">
        <v>3</v>
      </c>
      <c r="R708" s="1" t="s">
        <v>3</v>
      </c>
      <c r="S708" s="1">
        <v>-10375398378</v>
      </c>
      <c r="T708" s="1">
        <v>-4.3059900000000004</v>
      </c>
      <c r="U708" t="e">
        <f t="shared" si="77"/>
        <v>#VALUE!</v>
      </c>
      <c r="V708" t="e">
        <f t="shared" si="78"/>
        <v>#VALUE!</v>
      </c>
      <c r="W708" t="e">
        <f t="shared" si="79"/>
        <v>#VALUE!</v>
      </c>
      <c r="X708" t="e">
        <f t="shared" si="80"/>
        <v>#VALUE!</v>
      </c>
      <c r="Y708" t="e">
        <f t="shared" si="81"/>
        <v>#VALUE!</v>
      </c>
      <c r="Z708" t="e">
        <f t="shared" si="82"/>
        <v>#VALUE!</v>
      </c>
      <c r="AA708" t="e">
        <f t="shared" si="83"/>
        <v>#VALUE!</v>
      </c>
    </row>
    <row r="709" spans="1:27" x14ac:dyDescent="0.35">
      <c r="A709" s="1">
        <v>1.28491916655525</v>
      </c>
      <c r="B709" s="1">
        <v>92.692806370733706</v>
      </c>
      <c r="C709" s="1">
        <v>-1.6423577198769999E-3</v>
      </c>
      <c r="D709" s="1">
        <v>31.761369999999999</v>
      </c>
      <c r="E709" s="1">
        <v>0.54613</v>
      </c>
      <c r="F709" s="1">
        <v>-6.5861000000000001</v>
      </c>
      <c r="G709" s="1">
        <v>1.0707899999999999</v>
      </c>
      <c r="H709" s="1">
        <v>0.88177222543420497</v>
      </c>
      <c r="I709" s="1">
        <v>5.7110000000000001E-2</v>
      </c>
      <c r="J709" s="1">
        <v>29102003084</v>
      </c>
      <c r="K709" s="1">
        <v>46597407653</v>
      </c>
      <c r="L709">
        <v>815864709200</v>
      </c>
      <c r="M709">
        <v>18002349327</v>
      </c>
      <c r="N709">
        <v>856238894543</v>
      </c>
      <c r="O709" s="1">
        <v>12477119771</v>
      </c>
      <c r="P709">
        <v>4455709009</v>
      </c>
      <c r="Q709">
        <v>704859846124</v>
      </c>
      <c r="R709">
        <v>658262438471</v>
      </c>
      <c r="S709">
        <v>-1594800242</v>
      </c>
      <c r="T709">
        <v>-5.9293699999999996</v>
      </c>
      <c r="U709">
        <f t="shared" si="77"/>
        <v>0.49067093757715063</v>
      </c>
      <c r="V709">
        <f t="shared" si="78"/>
        <v>-4.3334063027030476</v>
      </c>
      <c r="W709">
        <f t="shared" si="79"/>
        <v>0.14482909189721083</v>
      </c>
      <c r="X709">
        <f t="shared" si="80"/>
        <v>1</v>
      </c>
      <c r="Y709">
        <f t="shared" si="81"/>
        <v>0</v>
      </c>
      <c r="Z709">
        <f t="shared" si="82"/>
        <v>0</v>
      </c>
      <c r="AA709">
        <f t="shared" si="83"/>
        <v>0</v>
      </c>
    </row>
    <row r="710" spans="1:27" x14ac:dyDescent="0.35">
      <c r="A710" s="1">
        <v>-4.2797134096365799</v>
      </c>
      <c r="B710" s="1">
        <v>-793.09666049826899</v>
      </c>
      <c r="C710" s="1">
        <v>3.0310958084350001E-3</v>
      </c>
      <c r="D710" s="1" t="s">
        <v>3</v>
      </c>
      <c r="E710" s="1">
        <v>1.0291999999999999</v>
      </c>
      <c r="F710" s="1">
        <v>6.4476899999999997</v>
      </c>
      <c r="G710" s="1">
        <v>1.0398099999999999</v>
      </c>
      <c r="H710" s="1">
        <v>0.98836066624393804</v>
      </c>
      <c r="I710" s="1">
        <v>3.2899999999999999E-2</v>
      </c>
      <c r="J710" s="1">
        <v>16492256410</v>
      </c>
      <c r="K710" s="1">
        <v>23842984346</v>
      </c>
      <c r="L710">
        <v>724610168897</v>
      </c>
      <c r="M710">
        <v>-27715682318</v>
      </c>
      <c r="N710">
        <v>761272388424</v>
      </c>
      <c r="O710" s="1">
        <v>-32963954965</v>
      </c>
      <c r="P710">
        <v>7457708679</v>
      </c>
      <c r="Q710">
        <v>622777288305</v>
      </c>
      <c r="R710">
        <v>598934303959</v>
      </c>
      <c r="S710">
        <v>2334663473</v>
      </c>
      <c r="T710">
        <v>-6.7223699999999997</v>
      </c>
      <c r="U710">
        <f t="shared" si="77"/>
        <v>0.43347993195719137</v>
      </c>
      <c r="V710">
        <f t="shared" si="78"/>
        <v>-4.032462267469767</v>
      </c>
      <c r="W710">
        <f t="shared" si="79"/>
        <v>0.12153220967728211</v>
      </c>
      <c r="X710">
        <f t="shared" si="80"/>
        <v>1</v>
      </c>
      <c r="Y710">
        <f t="shared" si="81"/>
        <v>0</v>
      </c>
      <c r="Z710">
        <f t="shared" si="82"/>
        <v>0</v>
      </c>
      <c r="AA710">
        <f t="shared" si="83"/>
        <v>0</v>
      </c>
    </row>
    <row r="711" spans="1:27" x14ac:dyDescent="0.35">
      <c r="A711" s="1" t="s">
        <v>3</v>
      </c>
      <c r="B711" s="1" t="s">
        <v>3</v>
      </c>
      <c r="C711" s="1">
        <v>-1.306926530932E-2</v>
      </c>
      <c r="D711" s="1" t="s">
        <v>3</v>
      </c>
      <c r="E711" s="1">
        <v>1.1220000000000001</v>
      </c>
      <c r="F711" s="1">
        <v>-79.739549999999994</v>
      </c>
      <c r="G711" s="1">
        <v>1.0308200000000001</v>
      </c>
      <c r="H711" s="1" t="s">
        <v>3</v>
      </c>
      <c r="I711" s="1">
        <v>2.5829999999999999E-2</v>
      </c>
      <c r="J711" s="1">
        <v>2953178127</v>
      </c>
      <c r="K711" s="1">
        <v>19040041053</v>
      </c>
      <c r="L711">
        <v>737034973189</v>
      </c>
      <c r="M711">
        <v>-1304134417</v>
      </c>
      <c r="N711">
        <v>354237898291</v>
      </c>
      <c r="O711" s="1">
        <v>-5382038265</v>
      </c>
      <c r="P711">
        <v>8269498791</v>
      </c>
      <c r="Q711">
        <v>636905580336</v>
      </c>
      <c r="R711">
        <v>617865539283</v>
      </c>
      <c r="S711">
        <v>-9551314075</v>
      </c>
      <c r="T711">
        <v>-6.6171699999999998</v>
      </c>
      <c r="U711">
        <f t="shared" si="77"/>
        <v>0.1776810223579266</v>
      </c>
      <c r="V711">
        <f t="shared" si="78"/>
        <v>-4.1990627211927229</v>
      </c>
      <c r="W711">
        <f t="shared" si="79"/>
        <v>5.5395302761587266E-2</v>
      </c>
      <c r="X711">
        <f t="shared" si="80"/>
        <v>1</v>
      </c>
      <c r="Y711">
        <f t="shared" si="81"/>
        <v>0</v>
      </c>
      <c r="Z711">
        <f t="shared" si="82"/>
        <v>0</v>
      </c>
      <c r="AA711">
        <f t="shared" si="83"/>
        <v>0</v>
      </c>
    </row>
    <row r="712" spans="1:27" x14ac:dyDescent="0.35">
      <c r="A712" s="1">
        <v>-52.567922218592102</v>
      </c>
      <c r="B712" s="1" t="s">
        <v>3</v>
      </c>
      <c r="C712" s="1">
        <v>-0.46032142662525199</v>
      </c>
      <c r="D712" s="1" t="s">
        <v>3</v>
      </c>
      <c r="E712" s="1">
        <v>1.0241100000000001</v>
      </c>
      <c r="F712" s="1" t="s">
        <v>3</v>
      </c>
      <c r="G712" s="1">
        <v>0.68428</v>
      </c>
      <c r="H712" s="1">
        <v>0.65425777956307696</v>
      </c>
      <c r="I712" s="1">
        <v>-0.41624</v>
      </c>
      <c r="J712" s="1">
        <v>2874795279</v>
      </c>
      <c r="K712" s="1">
        <v>-228591032015</v>
      </c>
      <c r="L712">
        <v>549182106669</v>
      </c>
      <c r="M712">
        <v>-338544921858</v>
      </c>
      <c r="N712">
        <v>420758765352</v>
      </c>
      <c r="O712" s="1">
        <v>-338068797051</v>
      </c>
      <c r="P712">
        <v>5624239151</v>
      </c>
      <c r="Q712">
        <v>495440504516</v>
      </c>
      <c r="R712">
        <v>724031536531</v>
      </c>
      <c r="S712">
        <v>-296036640575</v>
      </c>
      <c r="T712">
        <v>-9.4961599999999997</v>
      </c>
      <c r="U712">
        <f t="shared" si="77"/>
        <v>-2.0857526032005751</v>
      </c>
      <c r="V712">
        <f t="shared" si="78"/>
        <v>-1.4687516600459649</v>
      </c>
      <c r="W712">
        <f t="shared" si="79"/>
        <v>-2.4745701498862118</v>
      </c>
      <c r="X712">
        <f t="shared" si="80"/>
        <v>1</v>
      </c>
      <c r="Y712">
        <f t="shared" si="81"/>
        <v>0</v>
      </c>
      <c r="Z712">
        <f t="shared" si="82"/>
        <v>1</v>
      </c>
      <c r="AA712">
        <f t="shared" si="83"/>
        <v>1</v>
      </c>
    </row>
    <row r="713" spans="1:27" x14ac:dyDescent="0.35">
      <c r="A713" s="1">
        <v>-5.63667318609909</v>
      </c>
      <c r="B713" s="1" t="s">
        <v>3</v>
      </c>
      <c r="C713" s="1">
        <v>-5.2587056792202998E-2</v>
      </c>
      <c r="D713" s="1" t="s">
        <v>3</v>
      </c>
      <c r="E713" s="1">
        <v>1.1177299999999999</v>
      </c>
      <c r="F713" s="1" t="s">
        <v>3</v>
      </c>
      <c r="G713" s="1">
        <v>0.63112999999999997</v>
      </c>
      <c r="H713" s="1">
        <v>0.92206293351542501</v>
      </c>
      <c r="I713" s="1">
        <v>-0.51663999999999999</v>
      </c>
      <c r="J713" s="1">
        <v>-89558786</v>
      </c>
      <c r="K713" s="1">
        <v>-261127053893</v>
      </c>
      <c r="L713">
        <v>505431868727</v>
      </c>
      <c r="M713">
        <v>-27382118974</v>
      </c>
      <c r="N713">
        <v>486210227940</v>
      </c>
      <c r="O713" s="1">
        <v>-29722571584</v>
      </c>
      <c r="P713">
        <v>5649339057</v>
      </c>
      <c r="Q713">
        <v>446777010911</v>
      </c>
      <c r="R713">
        <v>707904064804</v>
      </c>
      <c r="S713">
        <v>-27729522509</v>
      </c>
      <c r="T713">
        <v>-10.376569999999999</v>
      </c>
      <c r="U713">
        <f t="shared" si="77"/>
        <v>-0.34131140488152412</v>
      </c>
      <c r="V713">
        <f t="shared" si="78"/>
        <v>-3.9691368691327247</v>
      </c>
      <c r="W713">
        <f t="shared" si="79"/>
        <v>-0.98315303984203595</v>
      </c>
      <c r="X713">
        <f t="shared" si="80"/>
        <v>1</v>
      </c>
      <c r="Y713">
        <f t="shared" si="81"/>
        <v>0</v>
      </c>
      <c r="Z713">
        <f t="shared" si="82"/>
        <v>1</v>
      </c>
      <c r="AA713">
        <f t="shared" si="83"/>
        <v>1</v>
      </c>
    </row>
    <row r="714" spans="1:27" x14ac:dyDescent="0.35">
      <c r="A714" s="1">
        <v>-17.889043749192702</v>
      </c>
      <c r="B714" s="1" t="s">
        <v>3</v>
      </c>
      <c r="C714" s="1">
        <v>-5.3753602973224998E-2</v>
      </c>
      <c r="D714" s="1" t="s">
        <v>3</v>
      </c>
      <c r="E714" s="1">
        <v>1.13134</v>
      </c>
      <c r="F714" s="1" t="s">
        <v>3</v>
      </c>
      <c r="G714" s="1">
        <v>0.58731999999999995</v>
      </c>
      <c r="H714" s="1">
        <v>1.0936109137783401</v>
      </c>
      <c r="I714" s="1">
        <v>-0.67339000000000004</v>
      </c>
      <c r="J714" s="1">
        <v>-378982410</v>
      </c>
      <c r="K714" s="1">
        <v>-313705209501</v>
      </c>
      <c r="L714">
        <v>465861265205</v>
      </c>
      <c r="M714">
        <v>-44815183365</v>
      </c>
      <c r="N714">
        <v>531108385873</v>
      </c>
      <c r="O714" s="1">
        <v>-86877526831</v>
      </c>
      <c r="P714">
        <v>5270467753</v>
      </c>
      <c r="Q714">
        <v>446460954565</v>
      </c>
      <c r="R714">
        <v>760166164066</v>
      </c>
      <c r="S714">
        <v>-26105252746</v>
      </c>
      <c r="T714">
        <v>-11.443820000000001</v>
      </c>
      <c r="U714">
        <f t="shared" si="77"/>
        <v>-0.44850857450025805</v>
      </c>
      <c r="V714">
        <f t="shared" si="78"/>
        <v>-3.3939685107780591</v>
      </c>
      <c r="W714">
        <f t="shared" si="79"/>
        <v>-1.2478217610147124</v>
      </c>
      <c r="X714">
        <f t="shared" si="80"/>
        <v>1</v>
      </c>
      <c r="Y714">
        <f t="shared" si="81"/>
        <v>0</v>
      </c>
      <c r="Z714">
        <f t="shared" si="82"/>
        <v>1</v>
      </c>
      <c r="AA714">
        <f t="shared" si="83"/>
        <v>1</v>
      </c>
    </row>
    <row r="715" spans="1:27" x14ac:dyDescent="0.35">
      <c r="A715" s="1" t="s">
        <v>3</v>
      </c>
      <c r="B715" s="1" t="s">
        <v>3</v>
      </c>
      <c r="C715" s="1" t="s">
        <v>3</v>
      </c>
      <c r="D715" s="1" t="s">
        <v>3</v>
      </c>
      <c r="E715" s="1" t="s">
        <v>3</v>
      </c>
      <c r="F715" s="1" t="s">
        <v>3</v>
      </c>
      <c r="G715" s="1" t="s">
        <v>3</v>
      </c>
      <c r="H715" s="1" t="s">
        <v>3</v>
      </c>
      <c r="I715" s="1" t="s">
        <v>3</v>
      </c>
      <c r="J715" s="1" t="s">
        <v>3</v>
      </c>
      <c r="K715" s="1" t="s">
        <v>3</v>
      </c>
      <c r="L715" s="1" t="s">
        <v>3</v>
      </c>
      <c r="M715" s="1" t="s">
        <v>3</v>
      </c>
      <c r="N715" s="1" t="s">
        <v>3</v>
      </c>
      <c r="O715" s="1" t="s">
        <v>3</v>
      </c>
      <c r="P715" s="1" t="s">
        <v>3</v>
      </c>
      <c r="Q715" s="1" t="s">
        <v>3</v>
      </c>
      <c r="R715" s="1" t="s">
        <v>3</v>
      </c>
      <c r="S715" s="1" t="s">
        <v>3</v>
      </c>
      <c r="T715" s="1" t="s">
        <v>3</v>
      </c>
      <c r="U715" t="e">
        <f t="shared" si="77"/>
        <v>#VALUE!</v>
      </c>
      <c r="V715" t="e">
        <f t="shared" si="78"/>
        <v>#VALUE!</v>
      </c>
      <c r="W715" t="e">
        <f t="shared" si="79"/>
        <v>#VALUE!</v>
      </c>
      <c r="X715" t="e">
        <f t="shared" si="80"/>
        <v>#VALUE!</v>
      </c>
      <c r="Y715" t="e">
        <f t="shared" si="81"/>
        <v>#VALUE!</v>
      </c>
      <c r="Z715" t="e">
        <f t="shared" si="82"/>
        <v>#VALUE!</v>
      </c>
      <c r="AA715" t="e">
        <f t="shared" si="83"/>
        <v>#VALUE!</v>
      </c>
    </row>
    <row r="716" spans="1:27" x14ac:dyDescent="0.35">
      <c r="A716" s="1" t="s">
        <v>3</v>
      </c>
      <c r="B716" s="1" t="s">
        <v>3</v>
      </c>
      <c r="C716" s="1" t="s">
        <v>3</v>
      </c>
      <c r="D716" s="1" t="s">
        <v>3</v>
      </c>
      <c r="E716" s="1" t="s">
        <v>3</v>
      </c>
      <c r="F716" s="1" t="s">
        <v>3</v>
      </c>
      <c r="G716" s="1" t="s">
        <v>3</v>
      </c>
      <c r="H716" s="1" t="s">
        <v>3</v>
      </c>
      <c r="I716" s="1" t="s">
        <v>3</v>
      </c>
      <c r="J716" s="1" t="s">
        <v>3</v>
      </c>
      <c r="K716" s="1" t="s">
        <v>3</v>
      </c>
      <c r="L716" s="1" t="s">
        <v>3</v>
      </c>
      <c r="M716" s="1" t="s">
        <v>3</v>
      </c>
      <c r="N716" s="1" t="s">
        <v>3</v>
      </c>
      <c r="O716" s="1" t="s">
        <v>3</v>
      </c>
      <c r="P716" s="1" t="s">
        <v>3</v>
      </c>
      <c r="Q716" s="1" t="s">
        <v>3</v>
      </c>
      <c r="R716" s="1" t="s">
        <v>3</v>
      </c>
      <c r="S716" s="1" t="s">
        <v>3</v>
      </c>
      <c r="T716" s="1" t="s">
        <v>3</v>
      </c>
      <c r="U716" t="e">
        <f t="shared" si="77"/>
        <v>#VALUE!</v>
      </c>
      <c r="V716" t="e">
        <f t="shared" si="78"/>
        <v>#VALUE!</v>
      </c>
      <c r="W716" t="e">
        <f t="shared" si="79"/>
        <v>#VALUE!</v>
      </c>
      <c r="X716" t="e">
        <f t="shared" si="80"/>
        <v>#VALUE!</v>
      </c>
      <c r="Y716" t="e">
        <f t="shared" si="81"/>
        <v>#VALUE!</v>
      </c>
      <c r="Z716" t="e">
        <f t="shared" si="82"/>
        <v>#VALUE!</v>
      </c>
      <c r="AA716" t="e">
        <f t="shared" si="83"/>
        <v>#VALUE!</v>
      </c>
    </row>
    <row r="717" spans="1:27" x14ac:dyDescent="0.35">
      <c r="A717" s="1" t="s">
        <v>3</v>
      </c>
      <c r="B717" s="1" t="s">
        <v>3</v>
      </c>
      <c r="C717" s="1" t="s">
        <v>3</v>
      </c>
      <c r="D717" s="1" t="s">
        <v>3</v>
      </c>
      <c r="E717" s="1" t="s">
        <v>3</v>
      </c>
      <c r="F717" s="1" t="s">
        <v>3</v>
      </c>
      <c r="G717" s="1" t="s">
        <v>3</v>
      </c>
      <c r="H717" s="1" t="s">
        <v>3</v>
      </c>
      <c r="I717" s="1" t="s">
        <v>3</v>
      </c>
      <c r="J717" s="1" t="s">
        <v>3</v>
      </c>
      <c r="K717" s="1" t="s">
        <v>3</v>
      </c>
      <c r="L717" s="1" t="s">
        <v>3</v>
      </c>
      <c r="M717" s="1" t="s">
        <v>3</v>
      </c>
      <c r="N717" s="1" t="s">
        <v>3</v>
      </c>
      <c r="O717" s="1" t="s">
        <v>3</v>
      </c>
      <c r="P717" s="1" t="s">
        <v>3</v>
      </c>
      <c r="Q717" s="1" t="s">
        <v>3</v>
      </c>
      <c r="R717" s="1" t="s">
        <v>3</v>
      </c>
      <c r="S717" s="1" t="s">
        <v>3</v>
      </c>
      <c r="T717" s="1" t="s">
        <v>3</v>
      </c>
      <c r="U717" t="e">
        <f t="shared" si="77"/>
        <v>#VALUE!</v>
      </c>
      <c r="V717" t="e">
        <f t="shared" si="78"/>
        <v>#VALUE!</v>
      </c>
      <c r="W717" t="e">
        <f t="shared" si="79"/>
        <v>#VALUE!</v>
      </c>
      <c r="X717" t="e">
        <f t="shared" si="80"/>
        <v>#VALUE!</v>
      </c>
      <c r="Y717" t="e">
        <f t="shared" si="81"/>
        <v>#VALUE!</v>
      </c>
      <c r="Z717" t="e">
        <f t="shared" si="82"/>
        <v>#VALUE!</v>
      </c>
      <c r="AA717" t="e">
        <f t="shared" si="83"/>
        <v>#VALUE!</v>
      </c>
    </row>
    <row r="718" spans="1:27" x14ac:dyDescent="0.35">
      <c r="A718" s="1" t="s">
        <v>3</v>
      </c>
      <c r="B718" s="1" t="s">
        <v>3</v>
      </c>
      <c r="C718" s="1" t="s">
        <v>3</v>
      </c>
      <c r="D718" s="1" t="s">
        <v>3</v>
      </c>
      <c r="E718" s="1" t="s">
        <v>3</v>
      </c>
      <c r="F718" s="1" t="s">
        <v>3</v>
      </c>
      <c r="G718" s="1" t="s">
        <v>3</v>
      </c>
      <c r="H718" s="1" t="s">
        <v>3</v>
      </c>
      <c r="I718" s="1" t="s">
        <v>3</v>
      </c>
      <c r="J718" s="1" t="s">
        <v>3</v>
      </c>
      <c r="K718" s="1" t="s">
        <v>3</v>
      </c>
      <c r="L718" s="1" t="s">
        <v>3</v>
      </c>
      <c r="M718" s="1" t="s">
        <v>3</v>
      </c>
      <c r="N718" s="1" t="s">
        <v>3</v>
      </c>
      <c r="O718" s="1" t="s">
        <v>3</v>
      </c>
      <c r="P718" s="1" t="s">
        <v>3</v>
      </c>
      <c r="Q718" s="1" t="s">
        <v>3</v>
      </c>
      <c r="R718" s="1" t="s">
        <v>3</v>
      </c>
      <c r="S718" s="1" t="s">
        <v>3</v>
      </c>
      <c r="T718" s="1" t="s">
        <v>3</v>
      </c>
      <c r="U718" t="e">
        <f t="shared" si="77"/>
        <v>#VALUE!</v>
      </c>
      <c r="V718" t="e">
        <f t="shared" si="78"/>
        <v>#VALUE!</v>
      </c>
      <c r="W718" t="e">
        <f t="shared" si="79"/>
        <v>#VALUE!</v>
      </c>
      <c r="X718" t="e">
        <f t="shared" si="80"/>
        <v>#VALUE!</v>
      </c>
      <c r="Y718" t="e">
        <f t="shared" si="81"/>
        <v>#VALUE!</v>
      </c>
      <c r="Z718" t="e">
        <f t="shared" si="82"/>
        <v>#VALUE!</v>
      </c>
      <c r="AA718" t="e">
        <f t="shared" si="83"/>
        <v>#VALUE!</v>
      </c>
    </row>
    <row r="719" spans="1:27" x14ac:dyDescent="0.35">
      <c r="A719" s="1" t="s">
        <v>3</v>
      </c>
      <c r="B719" s="1" t="s">
        <v>3</v>
      </c>
      <c r="C719" s="1" t="s">
        <v>3</v>
      </c>
      <c r="D719" s="1" t="s">
        <v>3</v>
      </c>
      <c r="E719" s="1" t="s">
        <v>3</v>
      </c>
      <c r="F719" s="1" t="s">
        <v>3</v>
      </c>
      <c r="G719" s="1" t="s">
        <v>3</v>
      </c>
      <c r="H719" s="1" t="s">
        <v>3</v>
      </c>
      <c r="I719" s="1" t="s">
        <v>3</v>
      </c>
      <c r="J719" s="1" t="s">
        <v>3</v>
      </c>
      <c r="K719" s="1" t="s">
        <v>3</v>
      </c>
      <c r="L719" s="1" t="s">
        <v>3</v>
      </c>
      <c r="M719" s="1" t="s">
        <v>3</v>
      </c>
      <c r="N719" s="1" t="s">
        <v>3</v>
      </c>
      <c r="O719" s="1" t="s">
        <v>3</v>
      </c>
      <c r="P719" s="1" t="s">
        <v>3</v>
      </c>
      <c r="Q719" s="1" t="s">
        <v>3</v>
      </c>
      <c r="R719" s="1" t="s">
        <v>3</v>
      </c>
      <c r="S719" s="1" t="s">
        <v>3</v>
      </c>
      <c r="T719" s="1" t="s">
        <v>3</v>
      </c>
      <c r="U719" t="e">
        <f t="shared" si="77"/>
        <v>#VALUE!</v>
      </c>
      <c r="V719" t="e">
        <f t="shared" si="78"/>
        <v>#VALUE!</v>
      </c>
      <c r="W719" t="e">
        <f t="shared" si="79"/>
        <v>#VALUE!</v>
      </c>
      <c r="X719" t="e">
        <f t="shared" si="80"/>
        <v>#VALUE!</v>
      </c>
      <c r="Y719" t="e">
        <f t="shared" si="81"/>
        <v>#VALUE!</v>
      </c>
      <c r="Z719" t="e">
        <f t="shared" si="82"/>
        <v>#VALUE!</v>
      </c>
      <c r="AA719" t="e">
        <f t="shared" si="83"/>
        <v>#VALUE!</v>
      </c>
    </row>
    <row r="720" spans="1:27" x14ac:dyDescent="0.35">
      <c r="A720" s="1" t="s">
        <v>3</v>
      </c>
      <c r="B720" s="1" t="s">
        <v>3</v>
      </c>
      <c r="C720" s="1" t="s">
        <v>3</v>
      </c>
      <c r="D720" s="1" t="s">
        <v>3</v>
      </c>
      <c r="E720" s="1" t="s">
        <v>3</v>
      </c>
      <c r="F720" s="1" t="s">
        <v>3</v>
      </c>
      <c r="G720" s="1" t="s">
        <v>3</v>
      </c>
      <c r="H720" s="1" t="s">
        <v>3</v>
      </c>
      <c r="I720" s="1" t="s">
        <v>3</v>
      </c>
      <c r="J720" s="1" t="s">
        <v>3</v>
      </c>
      <c r="K720" s="1" t="s">
        <v>3</v>
      </c>
      <c r="L720" s="1" t="s">
        <v>3</v>
      </c>
      <c r="M720" s="1" t="s">
        <v>3</v>
      </c>
      <c r="N720" s="1" t="s">
        <v>3</v>
      </c>
      <c r="O720" s="1" t="s">
        <v>3</v>
      </c>
      <c r="P720" s="1" t="s">
        <v>3</v>
      </c>
      <c r="Q720" s="1" t="s">
        <v>3</v>
      </c>
      <c r="R720" s="1" t="s">
        <v>3</v>
      </c>
      <c r="S720" s="1" t="s">
        <v>3</v>
      </c>
      <c r="T720" s="1" t="s">
        <v>3</v>
      </c>
      <c r="U720" t="e">
        <f t="shared" si="77"/>
        <v>#VALUE!</v>
      </c>
      <c r="V720" t="e">
        <f t="shared" si="78"/>
        <v>#VALUE!</v>
      </c>
      <c r="W720" t="e">
        <f t="shared" si="79"/>
        <v>#VALUE!</v>
      </c>
      <c r="X720" t="e">
        <f t="shared" si="80"/>
        <v>#VALUE!</v>
      </c>
      <c r="Y720" t="e">
        <f t="shared" si="81"/>
        <v>#VALUE!</v>
      </c>
      <c r="Z720" t="e">
        <f t="shared" si="82"/>
        <v>#VALUE!</v>
      </c>
      <c r="AA720" t="e">
        <f t="shared" si="83"/>
        <v>#VALUE!</v>
      </c>
    </row>
    <row r="721" spans="1:27" x14ac:dyDescent="0.35">
      <c r="A721" s="1" t="s">
        <v>3</v>
      </c>
      <c r="B721" s="1" t="s">
        <v>3</v>
      </c>
      <c r="C721" s="1" t="s">
        <v>3</v>
      </c>
      <c r="D721" s="1" t="s">
        <v>3</v>
      </c>
      <c r="E721" s="1" t="s">
        <v>3</v>
      </c>
      <c r="F721" s="1" t="s">
        <v>3</v>
      </c>
      <c r="G721" s="1" t="s">
        <v>3</v>
      </c>
      <c r="H721" s="1" t="s">
        <v>3</v>
      </c>
      <c r="I721" s="1" t="s">
        <v>3</v>
      </c>
      <c r="J721" s="1" t="s">
        <v>3</v>
      </c>
      <c r="K721" s="1" t="s">
        <v>3</v>
      </c>
      <c r="L721" s="1" t="s">
        <v>3</v>
      </c>
      <c r="M721" s="1" t="s">
        <v>3</v>
      </c>
      <c r="N721" s="1" t="s">
        <v>3</v>
      </c>
      <c r="O721" s="1" t="s">
        <v>3</v>
      </c>
      <c r="P721" s="1" t="s">
        <v>3</v>
      </c>
      <c r="Q721" s="1" t="s">
        <v>3</v>
      </c>
      <c r="R721" s="1" t="s">
        <v>3</v>
      </c>
      <c r="S721" s="1" t="s">
        <v>3</v>
      </c>
      <c r="T721" s="1" t="s">
        <v>3</v>
      </c>
      <c r="U721" t="e">
        <f t="shared" si="77"/>
        <v>#VALUE!</v>
      </c>
      <c r="V721" t="e">
        <f t="shared" si="78"/>
        <v>#VALUE!</v>
      </c>
      <c r="W721" t="e">
        <f t="shared" si="79"/>
        <v>#VALUE!</v>
      </c>
      <c r="X721" t="e">
        <f t="shared" si="80"/>
        <v>#VALUE!</v>
      </c>
      <c r="Y721" t="e">
        <f t="shared" si="81"/>
        <v>#VALUE!</v>
      </c>
      <c r="Z721" t="e">
        <f t="shared" si="82"/>
        <v>#VALUE!</v>
      </c>
      <c r="AA721" t="e">
        <f t="shared" si="83"/>
        <v>#VALUE!</v>
      </c>
    </row>
    <row r="722" spans="1:27" x14ac:dyDescent="0.35">
      <c r="A722" s="1" t="s">
        <v>3</v>
      </c>
      <c r="B722" s="1" t="s">
        <v>3</v>
      </c>
      <c r="C722" s="1" t="s">
        <v>3</v>
      </c>
      <c r="D722" s="1" t="s">
        <v>3</v>
      </c>
      <c r="E722" s="1" t="s">
        <v>3</v>
      </c>
      <c r="F722" s="1" t="s">
        <v>3</v>
      </c>
      <c r="G722" s="1" t="s">
        <v>3</v>
      </c>
      <c r="H722" s="1" t="s">
        <v>3</v>
      </c>
      <c r="I722" s="1" t="s">
        <v>3</v>
      </c>
      <c r="J722" s="1" t="s">
        <v>3</v>
      </c>
      <c r="K722" s="1" t="s">
        <v>3</v>
      </c>
      <c r="L722" s="1" t="s">
        <v>3</v>
      </c>
      <c r="M722" s="1" t="s">
        <v>3</v>
      </c>
      <c r="N722" s="1" t="s">
        <v>3</v>
      </c>
      <c r="O722" s="1" t="s">
        <v>3</v>
      </c>
      <c r="P722" s="1" t="s">
        <v>3</v>
      </c>
      <c r="Q722" s="1" t="s">
        <v>3</v>
      </c>
      <c r="R722" s="1" t="s">
        <v>3</v>
      </c>
      <c r="S722" s="1" t="s">
        <v>3</v>
      </c>
      <c r="T722" s="1" t="s">
        <v>3</v>
      </c>
      <c r="U722" t="e">
        <f t="shared" si="77"/>
        <v>#VALUE!</v>
      </c>
      <c r="V722" t="e">
        <f t="shared" si="78"/>
        <v>#VALUE!</v>
      </c>
      <c r="W722" t="e">
        <f t="shared" si="79"/>
        <v>#VALUE!</v>
      </c>
      <c r="X722" t="e">
        <f t="shared" si="80"/>
        <v>#VALUE!</v>
      </c>
      <c r="Y722" t="e">
        <f t="shared" si="81"/>
        <v>#VALUE!</v>
      </c>
      <c r="Z722" t="e">
        <f t="shared" si="82"/>
        <v>#VALUE!</v>
      </c>
      <c r="AA722" t="e">
        <f t="shared" si="83"/>
        <v>#VALUE!</v>
      </c>
    </row>
    <row r="723" spans="1:27" x14ac:dyDescent="0.35">
      <c r="A723" s="1" t="s">
        <v>3</v>
      </c>
      <c r="B723" s="1" t="s">
        <v>3</v>
      </c>
      <c r="C723" s="1" t="s">
        <v>3</v>
      </c>
      <c r="D723" s="1" t="s">
        <v>3</v>
      </c>
      <c r="E723" s="1" t="s">
        <v>3</v>
      </c>
      <c r="F723" s="1" t="s">
        <v>3</v>
      </c>
      <c r="G723" s="1" t="s">
        <v>3</v>
      </c>
      <c r="H723" s="1" t="s">
        <v>3</v>
      </c>
      <c r="I723" s="1" t="s">
        <v>3</v>
      </c>
      <c r="J723" s="1" t="s">
        <v>3</v>
      </c>
      <c r="K723" s="1" t="s">
        <v>3</v>
      </c>
      <c r="L723" s="1" t="s">
        <v>3</v>
      </c>
      <c r="M723" s="1" t="s">
        <v>3</v>
      </c>
      <c r="N723" s="1" t="s">
        <v>3</v>
      </c>
      <c r="O723" s="1" t="s">
        <v>3</v>
      </c>
      <c r="P723" s="1" t="s">
        <v>3</v>
      </c>
      <c r="Q723" s="1" t="s">
        <v>3</v>
      </c>
      <c r="R723" s="1" t="s">
        <v>3</v>
      </c>
      <c r="S723" s="1" t="s">
        <v>3</v>
      </c>
      <c r="T723" s="1" t="s">
        <v>3</v>
      </c>
      <c r="U723" t="e">
        <f t="shared" si="77"/>
        <v>#VALUE!</v>
      </c>
      <c r="V723" t="e">
        <f t="shared" si="78"/>
        <v>#VALUE!</v>
      </c>
      <c r="W723" t="e">
        <f t="shared" si="79"/>
        <v>#VALUE!</v>
      </c>
      <c r="X723" t="e">
        <f t="shared" si="80"/>
        <v>#VALUE!</v>
      </c>
      <c r="Y723" t="e">
        <f t="shared" si="81"/>
        <v>#VALUE!</v>
      </c>
      <c r="Z723" t="e">
        <f t="shared" si="82"/>
        <v>#VALUE!</v>
      </c>
      <c r="AA723" t="e">
        <f t="shared" si="83"/>
        <v>#VALUE!</v>
      </c>
    </row>
    <row r="724" spans="1:27" x14ac:dyDescent="0.35">
      <c r="A724" s="1" t="s">
        <v>3</v>
      </c>
      <c r="B724" s="1" t="s">
        <v>3</v>
      </c>
      <c r="C724" s="1" t="s">
        <v>3</v>
      </c>
      <c r="D724" s="1" t="s">
        <v>3</v>
      </c>
      <c r="E724" s="1" t="s">
        <v>3</v>
      </c>
      <c r="F724" s="1" t="s">
        <v>3</v>
      </c>
      <c r="G724" s="1" t="s">
        <v>3</v>
      </c>
      <c r="H724" s="1" t="s">
        <v>3</v>
      </c>
      <c r="I724" s="1" t="s">
        <v>3</v>
      </c>
      <c r="J724" s="1" t="s">
        <v>3</v>
      </c>
      <c r="K724" s="1" t="s">
        <v>3</v>
      </c>
      <c r="L724" s="1" t="s">
        <v>3</v>
      </c>
      <c r="M724" s="1" t="s">
        <v>3</v>
      </c>
      <c r="N724" s="1" t="s">
        <v>3</v>
      </c>
      <c r="O724" s="1" t="s">
        <v>3</v>
      </c>
      <c r="P724" s="1" t="s">
        <v>3</v>
      </c>
      <c r="Q724" s="1" t="s">
        <v>3</v>
      </c>
      <c r="R724" s="1" t="s">
        <v>3</v>
      </c>
      <c r="S724" s="1" t="s">
        <v>3</v>
      </c>
      <c r="T724" s="1" t="s">
        <v>3</v>
      </c>
      <c r="U724" t="e">
        <f t="shared" si="77"/>
        <v>#VALUE!</v>
      </c>
      <c r="V724" t="e">
        <f t="shared" si="78"/>
        <v>#VALUE!</v>
      </c>
      <c r="W724" t="e">
        <f t="shared" si="79"/>
        <v>#VALUE!</v>
      </c>
      <c r="X724" t="e">
        <f t="shared" si="80"/>
        <v>#VALUE!</v>
      </c>
      <c r="Y724" t="e">
        <f t="shared" si="81"/>
        <v>#VALUE!</v>
      </c>
      <c r="Z724" t="e">
        <f t="shared" si="82"/>
        <v>#VALUE!</v>
      </c>
      <c r="AA724" t="e">
        <f t="shared" si="83"/>
        <v>#VALUE!</v>
      </c>
    </row>
    <row r="725" spans="1:27" x14ac:dyDescent="0.35">
      <c r="A725" s="1" t="s">
        <v>3</v>
      </c>
      <c r="B725" s="1" t="s">
        <v>3</v>
      </c>
      <c r="C725" s="1" t="s">
        <v>3</v>
      </c>
      <c r="D725" s="1" t="s">
        <v>3</v>
      </c>
      <c r="E725" s="1" t="s">
        <v>3</v>
      </c>
      <c r="F725" s="1" t="s">
        <v>3</v>
      </c>
      <c r="G725" s="1" t="s">
        <v>3</v>
      </c>
      <c r="H725" s="1" t="s">
        <v>3</v>
      </c>
      <c r="I725" s="1" t="s">
        <v>3</v>
      </c>
      <c r="J725" s="1" t="s">
        <v>3</v>
      </c>
      <c r="K725" s="1" t="s">
        <v>3</v>
      </c>
      <c r="L725" s="1" t="s">
        <v>3</v>
      </c>
      <c r="M725" s="1" t="s">
        <v>3</v>
      </c>
      <c r="N725" s="1" t="s">
        <v>3</v>
      </c>
      <c r="O725" s="1" t="s">
        <v>3</v>
      </c>
      <c r="P725" s="1" t="s">
        <v>3</v>
      </c>
      <c r="Q725" s="1" t="s">
        <v>3</v>
      </c>
      <c r="R725" s="1" t="s">
        <v>3</v>
      </c>
      <c r="S725" s="1" t="s">
        <v>3</v>
      </c>
      <c r="T725" s="1" t="s">
        <v>3</v>
      </c>
      <c r="U725" t="e">
        <f t="shared" si="77"/>
        <v>#VALUE!</v>
      </c>
      <c r="V725" t="e">
        <f t="shared" si="78"/>
        <v>#VALUE!</v>
      </c>
      <c r="W725" t="e">
        <f t="shared" si="79"/>
        <v>#VALUE!</v>
      </c>
      <c r="X725" t="e">
        <f t="shared" si="80"/>
        <v>#VALUE!</v>
      </c>
      <c r="Y725" t="e">
        <f t="shared" si="81"/>
        <v>#VALUE!</v>
      </c>
      <c r="Z725" t="e">
        <f t="shared" si="82"/>
        <v>#VALUE!</v>
      </c>
      <c r="AA725" t="e">
        <f t="shared" si="83"/>
        <v>#VALUE!</v>
      </c>
    </row>
    <row r="726" spans="1:27" x14ac:dyDescent="0.35">
      <c r="A726" s="1" t="s">
        <v>3</v>
      </c>
      <c r="B726" s="1" t="s">
        <v>3</v>
      </c>
      <c r="C726" s="1" t="s">
        <v>3</v>
      </c>
      <c r="D726" s="1" t="s">
        <v>3</v>
      </c>
      <c r="E726" s="1" t="s">
        <v>3</v>
      </c>
      <c r="F726" s="1" t="s">
        <v>3</v>
      </c>
      <c r="G726" s="1" t="s">
        <v>3</v>
      </c>
      <c r="H726" s="1" t="s">
        <v>3</v>
      </c>
      <c r="I726" s="1" t="s">
        <v>3</v>
      </c>
      <c r="J726" s="1" t="s">
        <v>3</v>
      </c>
      <c r="K726" s="1" t="s">
        <v>3</v>
      </c>
      <c r="L726" s="1" t="s">
        <v>3</v>
      </c>
      <c r="M726" s="1" t="s">
        <v>3</v>
      </c>
      <c r="N726" s="1" t="s">
        <v>3</v>
      </c>
      <c r="O726" s="1" t="s">
        <v>3</v>
      </c>
      <c r="P726" s="1" t="s">
        <v>3</v>
      </c>
      <c r="Q726" s="1" t="s">
        <v>3</v>
      </c>
      <c r="R726" s="1" t="s">
        <v>3</v>
      </c>
      <c r="S726" s="1" t="s">
        <v>3</v>
      </c>
      <c r="T726" s="1" t="s">
        <v>3</v>
      </c>
      <c r="U726" t="e">
        <f t="shared" si="77"/>
        <v>#VALUE!</v>
      </c>
      <c r="V726" t="e">
        <f t="shared" si="78"/>
        <v>#VALUE!</v>
      </c>
      <c r="W726" t="e">
        <f t="shared" si="79"/>
        <v>#VALUE!</v>
      </c>
      <c r="X726" t="e">
        <f t="shared" si="80"/>
        <v>#VALUE!</v>
      </c>
      <c r="Y726" t="e">
        <f t="shared" si="81"/>
        <v>#VALUE!</v>
      </c>
      <c r="Z726" t="e">
        <f t="shared" si="82"/>
        <v>#VALUE!</v>
      </c>
      <c r="AA726" t="e">
        <f t="shared" si="83"/>
        <v>#VALUE!</v>
      </c>
    </row>
    <row r="727" spans="1:27" x14ac:dyDescent="0.35">
      <c r="A727" s="1" t="s">
        <v>3</v>
      </c>
      <c r="B727" s="1" t="s">
        <v>3</v>
      </c>
      <c r="C727" s="1" t="s">
        <v>3</v>
      </c>
      <c r="D727" s="1" t="s">
        <v>3</v>
      </c>
      <c r="E727" s="1" t="s">
        <v>3</v>
      </c>
      <c r="F727" s="1" t="s">
        <v>3</v>
      </c>
      <c r="G727" s="1" t="s">
        <v>3</v>
      </c>
      <c r="H727" s="1" t="s">
        <v>3</v>
      </c>
      <c r="I727" s="1" t="s">
        <v>3</v>
      </c>
      <c r="J727" s="1" t="s">
        <v>3</v>
      </c>
      <c r="K727" s="1" t="s">
        <v>3</v>
      </c>
      <c r="L727" s="1" t="s">
        <v>3</v>
      </c>
      <c r="M727" s="1" t="s">
        <v>3</v>
      </c>
      <c r="N727" s="1" t="s">
        <v>3</v>
      </c>
      <c r="O727" s="1" t="s">
        <v>3</v>
      </c>
      <c r="P727" s="1" t="s">
        <v>3</v>
      </c>
      <c r="Q727" s="1" t="s">
        <v>3</v>
      </c>
      <c r="R727" s="1" t="s">
        <v>3</v>
      </c>
      <c r="S727" s="1" t="s">
        <v>3</v>
      </c>
      <c r="T727" s="1" t="s">
        <v>3</v>
      </c>
      <c r="U727" t="e">
        <f t="shared" si="77"/>
        <v>#VALUE!</v>
      </c>
      <c r="V727" t="e">
        <f t="shared" si="78"/>
        <v>#VALUE!</v>
      </c>
      <c r="W727" t="e">
        <f t="shared" si="79"/>
        <v>#VALUE!</v>
      </c>
      <c r="X727" t="e">
        <f t="shared" si="80"/>
        <v>#VALUE!</v>
      </c>
      <c r="Y727" t="e">
        <f t="shared" si="81"/>
        <v>#VALUE!</v>
      </c>
      <c r="Z727" t="e">
        <f t="shared" si="82"/>
        <v>#VALUE!</v>
      </c>
      <c r="AA727" t="e">
        <f t="shared" si="83"/>
        <v>#VALUE!</v>
      </c>
    </row>
    <row r="728" spans="1:27" x14ac:dyDescent="0.35">
      <c r="A728" s="1" t="s">
        <v>3</v>
      </c>
      <c r="B728" s="1" t="s">
        <v>3</v>
      </c>
      <c r="C728" s="1" t="s">
        <v>3</v>
      </c>
      <c r="D728" s="1" t="s">
        <v>3</v>
      </c>
      <c r="E728" s="1" t="s">
        <v>3</v>
      </c>
      <c r="F728" s="1" t="s">
        <v>3</v>
      </c>
      <c r="G728" s="1" t="s">
        <v>3</v>
      </c>
      <c r="H728" s="1" t="s">
        <v>3</v>
      </c>
      <c r="I728" s="1" t="s">
        <v>3</v>
      </c>
      <c r="J728" s="1" t="s">
        <v>3</v>
      </c>
      <c r="K728" s="1" t="s">
        <v>3</v>
      </c>
      <c r="L728" s="1" t="s">
        <v>3</v>
      </c>
      <c r="M728" s="1" t="s">
        <v>3</v>
      </c>
      <c r="N728" s="1" t="s">
        <v>3</v>
      </c>
      <c r="O728" s="1" t="s">
        <v>3</v>
      </c>
      <c r="P728" s="1" t="s">
        <v>3</v>
      </c>
      <c r="Q728" s="1" t="s">
        <v>3</v>
      </c>
      <c r="R728" s="1" t="s">
        <v>3</v>
      </c>
      <c r="S728" s="1" t="s">
        <v>3</v>
      </c>
      <c r="T728" s="1" t="s">
        <v>3</v>
      </c>
      <c r="U728" t="e">
        <f t="shared" si="77"/>
        <v>#VALUE!</v>
      </c>
      <c r="V728" t="e">
        <f t="shared" si="78"/>
        <v>#VALUE!</v>
      </c>
      <c r="W728" t="e">
        <f t="shared" si="79"/>
        <v>#VALUE!</v>
      </c>
      <c r="X728" t="e">
        <f t="shared" si="80"/>
        <v>#VALUE!</v>
      </c>
      <c r="Y728" t="e">
        <f t="shared" si="81"/>
        <v>#VALUE!</v>
      </c>
      <c r="Z728" t="e">
        <f t="shared" si="82"/>
        <v>#VALUE!</v>
      </c>
      <c r="AA728" t="e">
        <f t="shared" si="83"/>
        <v>#VALUE!</v>
      </c>
    </row>
    <row r="729" spans="1:27" x14ac:dyDescent="0.35">
      <c r="A729" s="1" t="s">
        <v>3</v>
      </c>
      <c r="B729" s="1" t="s">
        <v>3</v>
      </c>
      <c r="C729" s="1" t="s">
        <v>3</v>
      </c>
      <c r="D729" s="1" t="s">
        <v>3</v>
      </c>
      <c r="E729" s="1" t="s">
        <v>3</v>
      </c>
      <c r="F729" s="1" t="s">
        <v>3</v>
      </c>
      <c r="G729" s="1" t="s">
        <v>3</v>
      </c>
      <c r="H729" s="1" t="s">
        <v>3</v>
      </c>
      <c r="I729" s="1" t="s">
        <v>3</v>
      </c>
      <c r="J729" s="1" t="s">
        <v>3</v>
      </c>
      <c r="K729" s="1" t="s">
        <v>3</v>
      </c>
      <c r="L729" s="1" t="s">
        <v>3</v>
      </c>
      <c r="M729" s="1" t="s">
        <v>3</v>
      </c>
      <c r="N729" s="1" t="s">
        <v>3</v>
      </c>
      <c r="O729" s="1" t="s">
        <v>3</v>
      </c>
      <c r="P729" s="1" t="s">
        <v>3</v>
      </c>
      <c r="Q729" s="1" t="s">
        <v>3</v>
      </c>
      <c r="R729" s="1" t="s">
        <v>3</v>
      </c>
      <c r="S729" s="1" t="s">
        <v>3</v>
      </c>
      <c r="T729" s="1" t="s">
        <v>3</v>
      </c>
      <c r="U729" t="e">
        <f t="shared" si="77"/>
        <v>#VALUE!</v>
      </c>
      <c r="V729" t="e">
        <f t="shared" si="78"/>
        <v>#VALUE!</v>
      </c>
      <c r="W729" t="e">
        <f t="shared" si="79"/>
        <v>#VALUE!</v>
      </c>
      <c r="X729" t="e">
        <f t="shared" si="80"/>
        <v>#VALUE!</v>
      </c>
      <c r="Y729" t="e">
        <f t="shared" si="81"/>
        <v>#VALUE!</v>
      </c>
      <c r="Z729" t="e">
        <f t="shared" si="82"/>
        <v>#VALUE!</v>
      </c>
      <c r="AA729" t="e">
        <f t="shared" si="83"/>
        <v>#VALUE!</v>
      </c>
    </row>
    <row r="730" spans="1:27" x14ac:dyDescent="0.35">
      <c r="A730" s="1" t="s">
        <v>3</v>
      </c>
      <c r="B730" s="1" t="s">
        <v>3</v>
      </c>
      <c r="C730" s="1" t="s">
        <v>3</v>
      </c>
      <c r="D730" s="1">
        <v>93.617990000000006</v>
      </c>
      <c r="E730" s="1">
        <v>41.961959999999998</v>
      </c>
      <c r="F730" s="1">
        <v>9.5096900000000009</v>
      </c>
      <c r="G730" s="1">
        <v>0.73643999999999998</v>
      </c>
      <c r="H730" s="1" t="s">
        <v>3</v>
      </c>
      <c r="I730" s="1">
        <v>-9.0509999999999993E-2</v>
      </c>
      <c r="J730" s="1">
        <v>2221705804365</v>
      </c>
      <c r="K730" s="1">
        <v>-1204945401615</v>
      </c>
      <c r="L730" s="1">
        <v>13312833918643</v>
      </c>
      <c r="M730" s="1">
        <v>2253688166972</v>
      </c>
      <c r="N730" s="1">
        <v>6892502506072</v>
      </c>
      <c r="O730" s="1">
        <v>1726425204851</v>
      </c>
      <c r="P730" s="1">
        <v>5586326039805</v>
      </c>
      <c r="Q730" s="1">
        <v>3366838624499</v>
      </c>
      <c r="R730" s="1">
        <v>4571784026114</v>
      </c>
      <c r="S730" s="1">
        <v>2609095462235</v>
      </c>
      <c r="T730" s="1">
        <v>0.23022999999999999</v>
      </c>
      <c r="U730">
        <f t="shared" si="77"/>
        <v>1.0408883116116856</v>
      </c>
      <c r="V730">
        <f t="shared" si="78"/>
        <v>-2.4887882402704049</v>
      </c>
      <c r="W730">
        <f t="shared" si="79"/>
        <v>0.57686105185080361</v>
      </c>
      <c r="X730">
        <f t="shared" si="80"/>
        <v>0</v>
      </c>
      <c r="Y730">
        <f t="shared" si="81"/>
        <v>0</v>
      </c>
      <c r="Z730">
        <f t="shared" si="82"/>
        <v>0</v>
      </c>
      <c r="AA730">
        <f t="shared" si="83"/>
        <v>0</v>
      </c>
    </row>
    <row r="731" spans="1:27" x14ac:dyDescent="0.35">
      <c r="A731" s="1">
        <v>4.7735924955378897</v>
      </c>
      <c r="B731" s="1">
        <v>7.7907352539381698</v>
      </c>
      <c r="C731" s="1">
        <v>7.2167582090193999E-2</v>
      </c>
      <c r="D731" s="1">
        <v>96.977410000000006</v>
      </c>
      <c r="E731" s="1">
        <v>40.58914</v>
      </c>
      <c r="F731" s="1">
        <v>5.9098800000000002</v>
      </c>
      <c r="G731" s="1">
        <v>0.46333999999999997</v>
      </c>
      <c r="H731" s="1">
        <v>0.242553616685697</v>
      </c>
      <c r="I731" s="1">
        <v>-0.23005</v>
      </c>
      <c r="J731" s="1">
        <v>653842623651</v>
      </c>
      <c r="K731" s="1">
        <v>-4660781495134</v>
      </c>
      <c r="L731" s="1">
        <v>20260264291103</v>
      </c>
      <c r="M731" s="1">
        <v>1054171338266</v>
      </c>
      <c r="N731" s="1">
        <v>4071638197059</v>
      </c>
      <c r="O731" s="1">
        <v>801321448330</v>
      </c>
      <c r="P731" s="1">
        <v>8223466183746</v>
      </c>
      <c r="Q731" s="1">
        <v>4023957977317</v>
      </c>
      <c r="R731" s="1">
        <v>8684739472451</v>
      </c>
      <c r="S731" s="1">
        <v>1211444660537</v>
      </c>
      <c r="T731" s="1">
        <v>0.17849000000000001</v>
      </c>
      <c r="U731">
        <f t="shared" si="77"/>
        <v>0.10711995601965381</v>
      </c>
      <c r="V731">
        <f t="shared" si="78"/>
        <v>-2.162547131739986</v>
      </c>
      <c r="W731">
        <f t="shared" si="79"/>
        <v>-0.11840297837528367</v>
      </c>
      <c r="X731">
        <f t="shared" si="80"/>
        <v>1</v>
      </c>
      <c r="Y731">
        <f t="shared" si="81"/>
        <v>0</v>
      </c>
      <c r="Z731">
        <f t="shared" si="82"/>
        <v>1</v>
      </c>
      <c r="AA731">
        <f t="shared" si="83"/>
        <v>1</v>
      </c>
    </row>
    <row r="732" spans="1:27" x14ac:dyDescent="0.35">
      <c r="A732" s="1">
        <v>16.336814708681999</v>
      </c>
      <c r="B732" s="1">
        <v>41.175923560592999</v>
      </c>
      <c r="C732" s="1">
        <v>0.17395007246312599</v>
      </c>
      <c r="D732" s="1">
        <v>69.446560000000005</v>
      </c>
      <c r="E732" s="1">
        <v>31.553280000000001</v>
      </c>
      <c r="F732" s="1">
        <v>12.9908</v>
      </c>
      <c r="G732" s="1">
        <v>0.54827000000000004</v>
      </c>
      <c r="H732" s="1">
        <v>0.39887310143829502</v>
      </c>
      <c r="I732" s="1">
        <v>-0.18720999999999999</v>
      </c>
      <c r="J732" s="1">
        <v>1832229290763</v>
      </c>
      <c r="K732" s="1">
        <v>-3931844802339</v>
      </c>
      <c r="L732">
        <v>21001859521415</v>
      </c>
      <c r="M732">
        <v>3975261849348</v>
      </c>
      <c r="N732">
        <v>8229175648515</v>
      </c>
      <c r="O732" s="1">
        <v>3370458356059</v>
      </c>
      <c r="P732">
        <v>6626775866017</v>
      </c>
      <c r="Q732">
        <v>4772064850097</v>
      </c>
      <c r="R732">
        <v>8703909652436</v>
      </c>
      <c r="S732">
        <v>3588774713585</v>
      </c>
      <c r="T732">
        <v>0.24992</v>
      </c>
      <c r="U732">
        <f t="shared" si="77"/>
        <v>0.78993613271349428</v>
      </c>
      <c r="V732">
        <f t="shared" si="78"/>
        <v>-3.2214470127414461</v>
      </c>
      <c r="W732">
        <f t="shared" si="79"/>
        <v>0.33233621625192805</v>
      </c>
      <c r="X732">
        <f t="shared" si="80"/>
        <v>1</v>
      </c>
      <c r="Y732">
        <f t="shared" si="81"/>
        <v>0</v>
      </c>
      <c r="Z732">
        <f t="shared" si="82"/>
        <v>0</v>
      </c>
      <c r="AA732">
        <f t="shared" si="83"/>
        <v>0</v>
      </c>
    </row>
    <row r="733" spans="1:27" x14ac:dyDescent="0.35">
      <c r="A733" s="1">
        <v>20.9944327130858</v>
      </c>
      <c r="B733" s="1">
        <v>61.711134721286598</v>
      </c>
      <c r="C733" s="1">
        <v>0.136229583261329</v>
      </c>
      <c r="D733" s="1">
        <v>68.05659</v>
      </c>
      <c r="E733" s="1">
        <v>27.98424</v>
      </c>
      <c r="F733" s="1">
        <v>33.844700000000003</v>
      </c>
      <c r="G733" s="1">
        <v>0.62044999999999995</v>
      </c>
      <c r="H733" s="1">
        <v>0.34413045982583301</v>
      </c>
      <c r="I733" s="1">
        <v>-0.11197</v>
      </c>
      <c r="J733" s="1">
        <v>3524507615912</v>
      </c>
      <c r="K733" s="1">
        <v>-3874752051326</v>
      </c>
      <c r="L733">
        <v>34604697319711</v>
      </c>
      <c r="M733">
        <v>6649522847805</v>
      </c>
      <c r="N733">
        <v>9567954987534</v>
      </c>
      <c r="O733" s="1">
        <v>5837140580037</v>
      </c>
      <c r="P733">
        <v>9683862638107</v>
      </c>
      <c r="Q733">
        <v>6333948069311</v>
      </c>
      <c r="R733">
        <v>10208700120637</v>
      </c>
      <c r="S733">
        <v>3787629032532</v>
      </c>
      <c r="T733">
        <v>4.6739999999999997E-2</v>
      </c>
      <c r="U733">
        <f t="shared" si="77"/>
        <v>0.76118709142826624</v>
      </c>
      <c r="V733">
        <f t="shared" si="78"/>
        <v>-3.4614789877949717</v>
      </c>
      <c r="W733">
        <f t="shared" si="79"/>
        <v>0.24752738795597365</v>
      </c>
      <c r="X733">
        <f t="shared" si="80"/>
        <v>1</v>
      </c>
      <c r="Y733">
        <f t="shared" si="81"/>
        <v>0</v>
      </c>
      <c r="Z733">
        <f t="shared" si="82"/>
        <v>0</v>
      </c>
      <c r="AA733">
        <f t="shared" si="83"/>
        <v>0</v>
      </c>
    </row>
    <row r="734" spans="1:27" x14ac:dyDescent="0.35">
      <c r="A734" s="1">
        <v>17.6936402668724</v>
      </c>
      <c r="B734" s="1">
        <v>34.0740337594371</v>
      </c>
      <c r="C734" s="1">
        <v>0.17117066812964599</v>
      </c>
      <c r="D734" s="1">
        <v>30.236350000000002</v>
      </c>
      <c r="E734" s="1">
        <v>18.955349999999999</v>
      </c>
      <c r="F734" s="1">
        <v>10.72513</v>
      </c>
      <c r="G734" s="1">
        <v>1.2635799999999999</v>
      </c>
      <c r="H734" s="1">
        <v>0.59723993346831294</v>
      </c>
      <c r="I734" s="1">
        <v>5.416E-2</v>
      </c>
      <c r="J734" s="1">
        <v>6273361000000</v>
      </c>
      <c r="K734" s="1">
        <v>2452964000000</v>
      </c>
      <c r="L734">
        <v>45289026000000</v>
      </c>
      <c r="M734">
        <v>8175373000000</v>
      </c>
      <c r="N734">
        <v>23857861000000</v>
      </c>
      <c r="O734" s="1">
        <v>7068054000000</v>
      </c>
      <c r="P734">
        <v>8584694000000</v>
      </c>
      <c r="Q734">
        <v>11759368000000</v>
      </c>
      <c r="R734">
        <v>9306404000000</v>
      </c>
      <c r="S734">
        <v>6837731000000</v>
      </c>
      <c r="T734">
        <v>0.12891</v>
      </c>
      <c r="U734">
        <f t="shared" si="77"/>
        <v>1.3098004965102814</v>
      </c>
      <c r="V734">
        <f t="shared" si="78"/>
        <v>-3.9167853625254718</v>
      </c>
      <c r="W734">
        <f t="shared" si="79"/>
        <v>0.66280052633501108</v>
      </c>
      <c r="X734">
        <f t="shared" si="80"/>
        <v>0</v>
      </c>
      <c r="Y734">
        <f t="shared" si="81"/>
        <v>0</v>
      </c>
      <c r="Z734">
        <f t="shared" si="82"/>
        <v>0</v>
      </c>
      <c r="AA734">
        <f t="shared" si="83"/>
        <v>0</v>
      </c>
    </row>
    <row r="735" spans="1:27" x14ac:dyDescent="0.35">
      <c r="A735" s="1">
        <v>15.8132900424166</v>
      </c>
      <c r="B735" s="1">
        <v>23.634981566152302</v>
      </c>
      <c r="C735" s="1">
        <v>0.14102833806479201</v>
      </c>
      <c r="D735" s="1">
        <v>29.67266</v>
      </c>
      <c r="E735" s="1">
        <v>20.700659999999999</v>
      </c>
      <c r="F735" s="1">
        <v>8.6257599999999996</v>
      </c>
      <c r="G735" s="1">
        <v>2.30023</v>
      </c>
      <c r="H735" s="1">
        <v>0.55289051180617399</v>
      </c>
      <c r="I735" s="1">
        <v>0.14565</v>
      </c>
      <c r="J735" s="1">
        <v>6213985000000</v>
      </c>
      <c r="K735" s="1">
        <v>7610997000000</v>
      </c>
      <c r="L735">
        <v>52253838000000</v>
      </c>
      <c r="M735">
        <v>8670819000000</v>
      </c>
      <c r="N735">
        <v>26965262000000</v>
      </c>
      <c r="O735" s="1">
        <v>7712368000000</v>
      </c>
      <c r="P735">
        <v>10816888000000</v>
      </c>
      <c r="Q735">
        <v>13464563000000</v>
      </c>
      <c r="R735">
        <v>5853566000000</v>
      </c>
      <c r="S735">
        <v>6878154000000</v>
      </c>
      <c r="T735">
        <v>0.23105999999999999</v>
      </c>
      <c r="U735">
        <f t="shared" si="77"/>
        <v>1.7381947091482846</v>
      </c>
      <c r="V735">
        <f t="shared" si="78"/>
        <v>-3.7750358908670023</v>
      </c>
      <c r="W735">
        <f t="shared" si="79"/>
        <v>0.74775843106491047</v>
      </c>
      <c r="X735">
        <f t="shared" si="80"/>
        <v>0</v>
      </c>
      <c r="Y735">
        <f t="shared" si="81"/>
        <v>0</v>
      </c>
      <c r="Z735">
        <f t="shared" si="82"/>
        <v>0</v>
      </c>
      <c r="AA735">
        <f t="shared" si="83"/>
        <v>0</v>
      </c>
    </row>
    <row r="736" spans="1:27" x14ac:dyDescent="0.35">
      <c r="A736" s="1" t="s">
        <v>3</v>
      </c>
      <c r="B736" s="1" t="s">
        <v>3</v>
      </c>
      <c r="C736" s="1" t="s">
        <v>3</v>
      </c>
      <c r="D736" s="1" t="s">
        <v>3</v>
      </c>
      <c r="E736" s="1" t="s">
        <v>3</v>
      </c>
      <c r="F736" s="1" t="s">
        <v>3</v>
      </c>
      <c r="G736" s="1" t="s">
        <v>3</v>
      </c>
      <c r="H736" s="1" t="s">
        <v>3</v>
      </c>
      <c r="I736" s="1" t="s">
        <v>3</v>
      </c>
      <c r="J736" s="1" t="s">
        <v>3</v>
      </c>
      <c r="K736" s="1" t="s">
        <v>3</v>
      </c>
      <c r="L736" s="1" t="s">
        <v>3</v>
      </c>
      <c r="M736" s="1" t="s">
        <v>3</v>
      </c>
      <c r="N736" s="1" t="s">
        <v>3</v>
      </c>
      <c r="O736" s="1" t="s">
        <v>3</v>
      </c>
      <c r="P736" s="1" t="s">
        <v>3</v>
      </c>
      <c r="Q736" s="1" t="s">
        <v>3</v>
      </c>
      <c r="R736" s="1" t="s">
        <v>3</v>
      </c>
      <c r="S736" s="1" t="s">
        <v>3</v>
      </c>
      <c r="T736" s="1" t="s">
        <v>3</v>
      </c>
      <c r="U736" t="e">
        <f t="shared" si="77"/>
        <v>#VALUE!</v>
      </c>
      <c r="V736" t="e">
        <f t="shared" si="78"/>
        <v>#VALUE!</v>
      </c>
      <c r="W736" t="e">
        <f t="shared" si="79"/>
        <v>#VALUE!</v>
      </c>
      <c r="X736" t="e">
        <f t="shared" si="80"/>
        <v>#VALUE!</v>
      </c>
      <c r="Y736" t="e">
        <f t="shared" si="81"/>
        <v>#VALUE!</v>
      </c>
      <c r="Z736" t="e">
        <f t="shared" si="82"/>
        <v>#VALUE!</v>
      </c>
      <c r="AA736" t="e">
        <f t="shared" si="83"/>
        <v>#VALUE!</v>
      </c>
    </row>
    <row r="737" spans="1:27" x14ac:dyDescent="0.35">
      <c r="A737" s="1">
        <v>3.2251639912437899</v>
      </c>
      <c r="B737" s="1">
        <v>5.8067394290729002</v>
      </c>
      <c r="C737" s="1">
        <v>1.0606233813517E-2</v>
      </c>
      <c r="D737" s="1">
        <v>9.2223900000000008</v>
      </c>
      <c r="E737" s="1">
        <v>5.7074100000000003</v>
      </c>
      <c r="F737" s="1" t="s">
        <v>3</v>
      </c>
      <c r="G737" s="1">
        <v>2.24037</v>
      </c>
      <c r="H737" s="1">
        <v>1.2288262943230099</v>
      </c>
      <c r="I737" s="1">
        <v>0.46282000000000001</v>
      </c>
      <c r="J737" s="1">
        <v>25862.945830000001</v>
      </c>
      <c r="K737" s="1">
        <v>419685.58328999998</v>
      </c>
      <c r="L737">
        <v>906807.13193999999</v>
      </c>
      <c r="M737" s="1">
        <v>35727.167450000001</v>
      </c>
      <c r="N737" s="1">
        <v>1252855.95361</v>
      </c>
      <c r="O737" s="1">
        <v>32882.319710000003</v>
      </c>
      <c r="P737" s="1">
        <v>51755.170660000003</v>
      </c>
      <c r="Q737" s="1">
        <v>758041.16148999997</v>
      </c>
      <c r="R737" s="1">
        <v>338355.57819999999</v>
      </c>
      <c r="S737" s="1">
        <v>10813.63838</v>
      </c>
      <c r="T737" s="1">
        <v>0.12528</v>
      </c>
      <c r="U737">
        <f t="shared" si="77"/>
        <v>1.1356456824592147</v>
      </c>
      <c r="V737">
        <f t="shared" si="78"/>
        <v>-4.1288937559620749</v>
      </c>
      <c r="W737">
        <f t="shared" si="79"/>
        <v>0.86182048374280895</v>
      </c>
      <c r="X737">
        <f t="shared" si="80"/>
        <v>0</v>
      </c>
      <c r="Y737">
        <f t="shared" si="81"/>
        <v>0</v>
      </c>
      <c r="Z737">
        <f t="shared" si="82"/>
        <v>0</v>
      </c>
      <c r="AA737">
        <f t="shared" si="83"/>
        <v>0</v>
      </c>
    </row>
    <row r="738" spans="1:27" x14ac:dyDescent="0.35">
      <c r="A738" s="1">
        <v>2.6443045160517</v>
      </c>
      <c r="B738" s="1">
        <v>4.2717267582923997</v>
      </c>
      <c r="C738" s="1">
        <v>2.3457521707818001E-2</v>
      </c>
      <c r="D738" s="1">
        <v>8.6232799999999994</v>
      </c>
      <c r="E738" s="1">
        <v>5.3392600000000003</v>
      </c>
      <c r="F738" s="1" t="s">
        <v>3</v>
      </c>
      <c r="G738" s="1">
        <v>2.3184800000000001</v>
      </c>
      <c r="H738" s="1">
        <v>1.5206583274918699</v>
      </c>
      <c r="I738" s="1">
        <v>0.49778</v>
      </c>
      <c r="J738" s="1">
        <v>8491.4421299999995</v>
      </c>
      <c r="K738" s="1">
        <v>503756.06498999998</v>
      </c>
      <c r="L738" s="1">
        <v>1012004.78522</v>
      </c>
      <c r="M738" s="1">
        <v>22969.77188</v>
      </c>
      <c r="N738" s="1">
        <v>1458928.6603600001</v>
      </c>
      <c r="O738" s="1">
        <v>25369.615089999999</v>
      </c>
      <c r="P738" s="1">
        <v>54033.607830000001</v>
      </c>
      <c r="Q738" s="1">
        <v>885828.17715999996</v>
      </c>
      <c r="R738" s="1">
        <v>382072.11216999998</v>
      </c>
      <c r="S738" s="1">
        <v>22505.286100000001</v>
      </c>
      <c r="T738" s="1">
        <v>0.13608999999999999</v>
      </c>
      <c r="U738">
        <f t="shared" si="77"/>
        <v>1.1973127913936301</v>
      </c>
      <c r="V738">
        <f t="shared" si="78"/>
        <v>-4.0991970311360015</v>
      </c>
      <c r="W738">
        <f t="shared" si="79"/>
        <v>0.95443786612817627</v>
      </c>
      <c r="X738">
        <f t="shared" si="80"/>
        <v>0</v>
      </c>
      <c r="Y738">
        <f t="shared" si="81"/>
        <v>0</v>
      </c>
      <c r="Z738">
        <f t="shared" si="82"/>
        <v>0</v>
      </c>
      <c r="AA738">
        <f t="shared" si="83"/>
        <v>0</v>
      </c>
    </row>
    <row r="739" spans="1:27" x14ac:dyDescent="0.35">
      <c r="A739" s="1">
        <v>2.920881128185</v>
      </c>
      <c r="B739" s="1">
        <v>5.3860573190536103</v>
      </c>
      <c r="C739" s="1">
        <v>3.4575125602245002E-2</v>
      </c>
      <c r="D739" s="1">
        <v>45.162570000000002</v>
      </c>
      <c r="E739" s="1">
        <v>21.78124</v>
      </c>
      <c r="F739" s="1" t="s">
        <v>3</v>
      </c>
      <c r="G739" s="1">
        <v>1.5280899999999999</v>
      </c>
      <c r="H739" s="1">
        <v>1.5250352533640801</v>
      </c>
      <c r="I739" s="1">
        <v>0.27059</v>
      </c>
      <c r="J739" s="1">
        <v>238800.26767999999</v>
      </c>
      <c r="K739" s="1">
        <v>350694.99468</v>
      </c>
      <c r="L739" s="1">
        <v>1296049.2012799999</v>
      </c>
      <c r="M739" s="1">
        <v>40752.952680000002</v>
      </c>
      <c r="N739" s="1">
        <v>1759931.8480400001</v>
      </c>
      <c r="O739" s="1">
        <v>33707.756659999999</v>
      </c>
      <c r="P739" s="1">
        <v>282295.63364999997</v>
      </c>
      <c r="Q739" s="1">
        <v>1014778.48775</v>
      </c>
      <c r="R739" s="1">
        <v>664083.49308000004</v>
      </c>
      <c r="S739" s="1">
        <v>39900.628239999998</v>
      </c>
      <c r="T739" s="1">
        <v>0.12131</v>
      </c>
      <c r="U739">
        <f t="shared" si="77"/>
        <v>0.95689003369422188</v>
      </c>
      <c r="V739">
        <f t="shared" si="78"/>
        <v>-3.1693931387851144</v>
      </c>
      <c r="W739">
        <f t="shared" si="79"/>
        <v>0.60868260830789922</v>
      </c>
      <c r="X739">
        <f t="shared" si="80"/>
        <v>0</v>
      </c>
      <c r="Y739">
        <f t="shared" si="81"/>
        <v>0</v>
      </c>
      <c r="Z739">
        <f t="shared" si="82"/>
        <v>0</v>
      </c>
      <c r="AA739">
        <f t="shared" si="83"/>
        <v>0</v>
      </c>
    </row>
    <row r="740" spans="1:27" x14ac:dyDescent="0.35">
      <c r="A740" s="1">
        <v>1.10789391933074</v>
      </c>
      <c r="B740" s="1">
        <v>2.4278383631421798</v>
      </c>
      <c r="C740" s="1">
        <v>1.3129449173782001E-2</v>
      </c>
      <c r="D740" s="1">
        <v>36.13185</v>
      </c>
      <c r="E740" s="1">
        <v>15.518319999999999</v>
      </c>
      <c r="F740" s="1" t="s">
        <v>3</v>
      </c>
      <c r="G740" s="1">
        <v>1.47262</v>
      </c>
      <c r="H740" s="1">
        <v>1.4211949975931299</v>
      </c>
      <c r="I740" s="1">
        <v>0.26962999999999998</v>
      </c>
      <c r="J740" s="1">
        <v>-11594.22529</v>
      </c>
      <c r="K740" s="1">
        <v>337976.95853</v>
      </c>
      <c r="L740" s="1">
        <v>1253463.87097</v>
      </c>
      <c r="M740" s="1">
        <v>17468.577440000001</v>
      </c>
      <c r="N740" s="1">
        <v>1811677.6122900001</v>
      </c>
      <c r="O740" s="1">
        <v>14122.950150000001</v>
      </c>
      <c r="P740" s="1">
        <v>194516.58986000001</v>
      </c>
      <c r="Q740" s="1">
        <v>1053088.66359</v>
      </c>
      <c r="R740" s="1">
        <v>715111.70507000003</v>
      </c>
      <c r="S740" s="1">
        <v>16736.851149999999</v>
      </c>
      <c r="T740" s="1">
        <v>0.10647</v>
      </c>
      <c r="U740">
        <f t="shared" si="77"/>
        <v>0.91297261912825656</v>
      </c>
      <c r="V740">
        <f t="shared" si="78"/>
        <v>-3.4602671438498032</v>
      </c>
      <c r="W740">
        <f t="shared" si="79"/>
        <v>0.54752884916075562</v>
      </c>
      <c r="X740">
        <f t="shared" si="80"/>
        <v>0</v>
      </c>
      <c r="Y740">
        <f t="shared" si="81"/>
        <v>0</v>
      </c>
      <c r="Z740">
        <f t="shared" si="82"/>
        <v>0</v>
      </c>
      <c r="AA740">
        <f t="shared" si="83"/>
        <v>0</v>
      </c>
    </row>
    <row r="741" spans="1:27" x14ac:dyDescent="0.35">
      <c r="A741" s="1">
        <v>-4.2049969059945198</v>
      </c>
      <c r="B741" s="1">
        <v>-10.756610012217999</v>
      </c>
      <c r="C741" s="1">
        <v>-5.4621607870742002E-2</v>
      </c>
      <c r="D741" s="1">
        <v>92.578879999999998</v>
      </c>
      <c r="E741" s="1">
        <v>33.272539999999999</v>
      </c>
      <c r="F741" s="1" t="s">
        <v>3</v>
      </c>
      <c r="G741" s="1">
        <v>1.6582600000000001</v>
      </c>
      <c r="H741" s="1">
        <v>0.98704097562912796</v>
      </c>
      <c r="I741" s="1">
        <v>0.32845999999999997</v>
      </c>
      <c r="J741" s="1">
        <v>-272631.64750999998</v>
      </c>
      <c r="K741" s="1">
        <v>503710.93417999998</v>
      </c>
      <c r="L741" s="1">
        <v>1533536.8365199999</v>
      </c>
      <c r="M741" s="1">
        <v>-58596.646760000003</v>
      </c>
      <c r="N741" s="1">
        <v>1375441.9487000001</v>
      </c>
      <c r="O741" s="1">
        <v>-58596.646760000003</v>
      </c>
      <c r="P741" s="1">
        <v>510246.70912999997</v>
      </c>
      <c r="Q741" s="1">
        <v>1268932.16561</v>
      </c>
      <c r="R741" s="1">
        <v>765221.23141999997</v>
      </c>
      <c r="S741" s="1">
        <v>-76115.229890000002</v>
      </c>
      <c r="T741" s="1">
        <v>5.5289999999999999E-2</v>
      </c>
      <c r="U741">
        <f t="shared" si="77"/>
        <v>0.49416571320982011</v>
      </c>
      <c r="V741">
        <f t="shared" si="78"/>
        <v>-2.2248864069978627</v>
      </c>
      <c r="W741">
        <f t="shared" si="79"/>
        <v>0.42940008776002558</v>
      </c>
      <c r="X741">
        <f t="shared" si="80"/>
        <v>1</v>
      </c>
      <c r="Y741">
        <f t="shared" si="81"/>
        <v>0</v>
      </c>
      <c r="Z741">
        <f t="shared" si="82"/>
        <v>0</v>
      </c>
      <c r="AA741">
        <f t="shared" si="83"/>
        <v>0</v>
      </c>
    </row>
    <row r="742" spans="1:27" x14ac:dyDescent="0.35">
      <c r="A742" s="1">
        <v>-9.3796399721462205</v>
      </c>
      <c r="B742" s="1">
        <v>-27.8619169984241</v>
      </c>
      <c r="C742" s="1">
        <v>-6.6567513947898005E-2</v>
      </c>
      <c r="D742" s="1">
        <v>114.03142</v>
      </c>
      <c r="E742" s="1">
        <v>35.55742</v>
      </c>
      <c r="F742" s="1">
        <v>-2.62208</v>
      </c>
      <c r="G742" s="1">
        <v>1.62575</v>
      </c>
      <c r="H742" s="1">
        <v>1.03491611658947</v>
      </c>
      <c r="I742" s="1">
        <v>0.32336999999999999</v>
      </c>
      <c r="J742" s="1">
        <v>20574</v>
      </c>
      <c r="K742" s="1">
        <v>454410</v>
      </c>
      <c r="L742" s="1">
        <v>1405254</v>
      </c>
      <c r="M742" s="1">
        <v>-134931</v>
      </c>
      <c r="N742" s="1">
        <v>1520701</v>
      </c>
      <c r="O742" s="1">
        <v>-137824</v>
      </c>
      <c r="P742" s="1">
        <v>499672</v>
      </c>
      <c r="Q742" s="1">
        <v>1180596</v>
      </c>
      <c r="R742" s="1">
        <v>726186</v>
      </c>
      <c r="S742" s="1">
        <v>-97814</v>
      </c>
      <c r="T742" s="1">
        <v>-3.5880000000000002E-2</v>
      </c>
      <c r="U742">
        <f t="shared" si="77"/>
        <v>0.42960420513326875</v>
      </c>
      <c r="V742">
        <f t="shared" si="78"/>
        <v>-1.8253749429805157</v>
      </c>
      <c r="W742">
        <f t="shared" si="79"/>
        <v>0.35204449729372778</v>
      </c>
      <c r="X742">
        <f t="shared" si="80"/>
        <v>1</v>
      </c>
      <c r="Y742">
        <f t="shared" si="81"/>
        <v>0</v>
      </c>
      <c r="Z742">
        <f t="shared" si="82"/>
        <v>0</v>
      </c>
      <c r="AA742">
        <f t="shared" si="83"/>
        <v>0</v>
      </c>
    </row>
    <row r="743" spans="1:27" x14ac:dyDescent="0.35">
      <c r="A743" s="1">
        <v>-12.0835004440088</v>
      </c>
      <c r="B743" s="1">
        <v>-42.352453809826301</v>
      </c>
      <c r="C743" s="1">
        <v>-7.8073844927071007E-2</v>
      </c>
      <c r="D743" s="1">
        <v>162.03181000000001</v>
      </c>
      <c r="E743" s="1">
        <v>40.900669999999998</v>
      </c>
      <c r="F743" s="1">
        <v>-2.0773799999999998</v>
      </c>
      <c r="G743" s="1">
        <v>1.91889</v>
      </c>
      <c r="H743" s="1">
        <v>1.39123202788706</v>
      </c>
      <c r="I743" s="1">
        <v>0.42564000000000002</v>
      </c>
      <c r="J743" s="1">
        <v>479811</v>
      </c>
      <c r="K743" s="1">
        <v>482245</v>
      </c>
      <c r="L743" s="1">
        <v>1132984</v>
      </c>
      <c r="M743" s="1">
        <v>-169398</v>
      </c>
      <c r="N743" s="1">
        <v>1765639</v>
      </c>
      <c r="O743" s="1">
        <v>-153354</v>
      </c>
      <c r="P743" s="1">
        <v>463398</v>
      </c>
      <c r="Q743" s="1">
        <v>1007055</v>
      </c>
      <c r="R743" s="1">
        <v>524810</v>
      </c>
      <c r="S743" s="1">
        <v>-99085</v>
      </c>
      <c r="T743" s="1">
        <v>-0.17516999999999999</v>
      </c>
      <c r="U743">
        <f t="shared" si="77"/>
        <v>0.5802484633004853</v>
      </c>
      <c r="V743">
        <f t="shared" si="78"/>
        <v>-1.3518931362931272</v>
      </c>
      <c r="W743">
        <f t="shared" si="79"/>
        <v>0.45944632404341107</v>
      </c>
      <c r="X743">
        <f t="shared" si="80"/>
        <v>1</v>
      </c>
      <c r="Y743">
        <f t="shared" si="81"/>
        <v>0</v>
      </c>
      <c r="Z743">
        <f t="shared" si="82"/>
        <v>0</v>
      </c>
      <c r="AA743">
        <f t="shared" si="83"/>
        <v>0</v>
      </c>
    </row>
    <row r="744" spans="1:27" x14ac:dyDescent="0.35">
      <c r="A744" s="1">
        <v>30.534551009219001</v>
      </c>
      <c r="B744" s="1">
        <v>69.920509999332495</v>
      </c>
      <c r="C744" s="1">
        <v>1.2518754424481001E-2</v>
      </c>
      <c r="D744" s="1">
        <v>54.189889999999998</v>
      </c>
      <c r="E744" s="1">
        <v>26.954550000000001</v>
      </c>
      <c r="F744" s="1">
        <v>0.33306000000000002</v>
      </c>
      <c r="G744" s="1">
        <v>0.92945</v>
      </c>
      <c r="H744" s="1">
        <v>0.60064470780481605</v>
      </c>
      <c r="I744" s="1">
        <v>-7.0200000000000002E-3</v>
      </c>
      <c r="J744" s="1">
        <v>33177809</v>
      </c>
      <c r="K744" s="1">
        <v>-4030329</v>
      </c>
      <c r="L744" s="1">
        <v>574410537</v>
      </c>
      <c r="M744" s="1">
        <v>95664043</v>
      </c>
      <c r="N744" s="1">
        <v>172848585</v>
      </c>
      <c r="O744" s="1">
        <v>87869815</v>
      </c>
      <c r="P744" s="1">
        <v>154829776</v>
      </c>
      <c r="Q744" s="1">
        <v>53094491</v>
      </c>
      <c r="R744" s="1">
        <v>57124820</v>
      </c>
      <c r="S744" s="1">
        <v>3602544</v>
      </c>
      <c r="T744" s="1">
        <v>0.15075</v>
      </c>
      <c r="U744">
        <f t="shared" si="77"/>
        <v>1.237661698254386</v>
      </c>
      <c r="V744">
        <f t="shared" si="78"/>
        <v>-3.4482553666347489</v>
      </c>
      <c r="W744">
        <f t="shared" si="79"/>
        <v>6.9219368402707426E-2</v>
      </c>
      <c r="X744">
        <f t="shared" si="80"/>
        <v>0</v>
      </c>
      <c r="Y744">
        <f t="shared" si="81"/>
        <v>0</v>
      </c>
      <c r="Z744">
        <f t="shared" si="82"/>
        <v>0</v>
      </c>
      <c r="AA744">
        <f t="shared" si="83"/>
        <v>0</v>
      </c>
    </row>
    <row r="745" spans="1:27" x14ac:dyDescent="0.35">
      <c r="A745" s="1">
        <v>-3.8154347977452399</v>
      </c>
      <c r="B745" s="1">
        <v>-10.257483177904</v>
      </c>
      <c r="C745" s="1">
        <v>-6.3834743279659004E-2</v>
      </c>
      <c r="D745" s="1">
        <v>156.27977000000001</v>
      </c>
      <c r="E745" s="1">
        <v>50.326779999999999</v>
      </c>
      <c r="F745" s="1">
        <v>-1.7356799999999999</v>
      </c>
      <c r="G745" s="1">
        <v>0.90432000000000001</v>
      </c>
      <c r="H745" s="1">
        <v>0.112865140185003</v>
      </c>
      <c r="I745" s="1">
        <v>-1.1820000000000001E-2</v>
      </c>
      <c r="J745" s="1">
        <v>-38128608</v>
      </c>
      <c r="K745" s="1">
        <v>-9520334</v>
      </c>
      <c r="L745" s="1">
        <v>805477334</v>
      </c>
      <c r="M745" s="1">
        <v>-38897496</v>
      </c>
      <c r="N745" s="1">
        <v>77870619</v>
      </c>
      <c r="O745" s="1">
        <v>-26324361</v>
      </c>
      <c r="P745" s="1">
        <v>405370831</v>
      </c>
      <c r="Q745" s="1">
        <v>89979053</v>
      </c>
      <c r="R745" s="1">
        <v>99499387</v>
      </c>
      <c r="S745" s="1">
        <v>-44042394</v>
      </c>
      <c r="T745" s="1">
        <v>7.7469999999999997E-2</v>
      </c>
      <c r="U745">
        <f t="shared" si="77"/>
        <v>-0.39938204612306755</v>
      </c>
      <c r="V745">
        <f t="shared" si="78"/>
        <v>-1.280688483634989</v>
      </c>
      <c r="W745">
        <f t="shared" si="79"/>
        <v>-0.14915111442974507</v>
      </c>
      <c r="X745">
        <f t="shared" si="80"/>
        <v>1</v>
      </c>
      <c r="Y745">
        <f t="shared" si="81"/>
        <v>0</v>
      </c>
      <c r="Z745">
        <f t="shared" si="82"/>
        <v>1</v>
      </c>
      <c r="AA745">
        <f t="shared" si="83"/>
        <v>1</v>
      </c>
    </row>
    <row r="746" spans="1:27" x14ac:dyDescent="0.35">
      <c r="A746" s="1">
        <v>3.1136904006938599</v>
      </c>
      <c r="B746" s="1">
        <v>9.7739725664505794</v>
      </c>
      <c r="C746" s="1">
        <v>8.3145572007975996E-2</v>
      </c>
      <c r="D746" s="1">
        <v>139.45516000000001</v>
      </c>
      <c r="E746" s="1">
        <v>46.433140000000002</v>
      </c>
      <c r="F746" s="1">
        <v>2.4528500000000002</v>
      </c>
      <c r="G746" s="1">
        <v>0.38607999999999998</v>
      </c>
      <c r="H746" s="1">
        <v>0.33711384331802502</v>
      </c>
      <c r="I746" s="1">
        <v>-0.12847</v>
      </c>
      <c r="J746" s="1">
        <v>84210486</v>
      </c>
      <c r="K746" s="1">
        <v>-110058407</v>
      </c>
      <c r="L746" s="1">
        <v>856714899</v>
      </c>
      <c r="M746" s="1">
        <v>45568613</v>
      </c>
      <c r="N746" s="1">
        <v>280174006</v>
      </c>
      <c r="O746" s="1">
        <v>25877760</v>
      </c>
      <c r="P746" s="1">
        <v>397799669</v>
      </c>
      <c r="Q746" s="1">
        <v>69213699</v>
      </c>
      <c r="R746" s="1">
        <v>179272106</v>
      </c>
      <c r="S746" s="1">
        <v>69101962</v>
      </c>
      <c r="T746" s="1">
        <v>9.9680000000000005E-2</v>
      </c>
      <c r="U746">
        <f t="shared" si="77"/>
        <v>0.41388075188853263</v>
      </c>
      <c r="V746">
        <f t="shared" si="78"/>
        <v>-1.7876925287927694</v>
      </c>
      <c r="W746">
        <f t="shared" si="79"/>
        <v>0.12007903752004201</v>
      </c>
      <c r="X746">
        <f t="shared" si="80"/>
        <v>1</v>
      </c>
      <c r="Y746">
        <f t="shared" si="81"/>
        <v>0</v>
      </c>
      <c r="Z746">
        <f t="shared" si="82"/>
        <v>0</v>
      </c>
      <c r="AA746">
        <f t="shared" si="83"/>
        <v>0</v>
      </c>
    </row>
    <row r="747" spans="1:27" x14ac:dyDescent="0.35">
      <c r="A747" s="1">
        <v>3.70926386488647</v>
      </c>
      <c r="B747" s="1">
        <v>9.3424083057326399</v>
      </c>
      <c r="C747" s="1">
        <v>9.7045414232566005E-2</v>
      </c>
      <c r="D747" s="1">
        <v>105.32724</v>
      </c>
      <c r="E747" s="1">
        <v>40.291319999999999</v>
      </c>
      <c r="F747" s="1">
        <v>2.8894199999999999</v>
      </c>
      <c r="G747" s="1">
        <v>0.29282000000000002</v>
      </c>
      <c r="H747" s="1">
        <v>0.33993574166940899</v>
      </c>
      <c r="I747" s="1">
        <v>-0.19878000000000001</v>
      </c>
      <c r="J747" s="1">
        <v>88638640</v>
      </c>
      <c r="K747" s="1">
        <v>-164873214</v>
      </c>
      <c r="L747" s="1">
        <v>829436593</v>
      </c>
      <c r="M747" s="1">
        <v>57769005</v>
      </c>
      <c r="N747" s="1">
        <v>286591579</v>
      </c>
      <c r="O747" s="1">
        <v>31271904</v>
      </c>
      <c r="P747" s="1">
        <v>334190961</v>
      </c>
      <c r="Q747" s="1">
        <v>68270054</v>
      </c>
      <c r="R747" s="1">
        <v>233143268</v>
      </c>
      <c r="S747" s="1">
        <v>81816635</v>
      </c>
      <c r="T747" s="1">
        <v>0.13288</v>
      </c>
      <c r="U747">
        <f t="shared" si="77"/>
        <v>0.39983506816593262</v>
      </c>
      <c r="V747">
        <f t="shared" si="78"/>
        <v>-2.1718850338634677</v>
      </c>
      <c r="W747">
        <f t="shared" si="79"/>
        <v>6.5395304671589327E-2</v>
      </c>
      <c r="X747">
        <f t="shared" si="80"/>
        <v>1</v>
      </c>
      <c r="Y747">
        <f t="shared" si="81"/>
        <v>0</v>
      </c>
      <c r="Z747">
        <f t="shared" si="82"/>
        <v>0</v>
      </c>
      <c r="AA747">
        <f t="shared" si="83"/>
        <v>0</v>
      </c>
    </row>
    <row r="748" spans="1:27" x14ac:dyDescent="0.35">
      <c r="A748" s="1">
        <v>2.6416168797131299</v>
      </c>
      <c r="B748" s="1">
        <v>6.79842093225251</v>
      </c>
      <c r="C748" s="1">
        <v>8.2810420050069999E-2</v>
      </c>
      <c r="D748" s="1">
        <v>93.674459999999996</v>
      </c>
      <c r="E748" s="1">
        <v>37.569740000000003</v>
      </c>
      <c r="F748" s="1">
        <v>2.3658000000000001</v>
      </c>
      <c r="G748" s="1">
        <v>0.48705999999999999</v>
      </c>
      <c r="H748" s="1">
        <v>0.27952039507981902</v>
      </c>
      <c r="I748" s="1">
        <v>-0.10895000000000001</v>
      </c>
      <c r="J748" s="1">
        <v>68717513</v>
      </c>
      <c r="K748" s="1">
        <v>-92928790</v>
      </c>
      <c r="L748" s="1">
        <v>852939392</v>
      </c>
      <c r="M748" s="1">
        <v>40504896</v>
      </c>
      <c r="N748" s="1">
        <v>235129200</v>
      </c>
      <c r="O748" s="1">
        <v>22220964</v>
      </c>
      <c r="P748" s="1">
        <v>320447107</v>
      </c>
      <c r="Q748" s="1">
        <v>88240728</v>
      </c>
      <c r="R748" s="1">
        <v>181169518</v>
      </c>
      <c r="S748" s="1">
        <v>69659131</v>
      </c>
      <c r="T748" s="1">
        <v>0.15476999999999999</v>
      </c>
      <c r="U748">
        <f t="shared" si="77"/>
        <v>0.39633252540819719</v>
      </c>
      <c r="V748">
        <f t="shared" si="78"/>
        <v>-2.2738115926542992</v>
      </c>
      <c r="W748">
        <f t="shared" si="79"/>
        <v>0.15565028469455425</v>
      </c>
      <c r="X748">
        <f t="shared" si="80"/>
        <v>1</v>
      </c>
      <c r="Y748">
        <f t="shared" si="81"/>
        <v>0</v>
      </c>
      <c r="Z748">
        <f t="shared" si="82"/>
        <v>0</v>
      </c>
      <c r="AA748">
        <f t="shared" si="83"/>
        <v>0</v>
      </c>
    </row>
    <row r="749" spans="1:27" x14ac:dyDescent="0.35">
      <c r="A749" s="1">
        <v>1.79214379056111</v>
      </c>
      <c r="B749" s="1">
        <v>4.8368889504711001</v>
      </c>
      <c r="C749" s="1">
        <v>6.4679313383428E-2</v>
      </c>
      <c r="D749" s="1">
        <v>114.90376000000001</v>
      </c>
      <c r="E749" s="1">
        <v>43.657110000000003</v>
      </c>
      <c r="F749" s="1">
        <v>1.94</v>
      </c>
      <c r="G749" s="1">
        <v>0.88371</v>
      </c>
      <c r="H749" s="1">
        <v>0.24733104823899801</v>
      </c>
      <c r="I749" s="1">
        <v>-2.1350000000000001E-2</v>
      </c>
      <c r="J749" s="1">
        <v>20505314</v>
      </c>
      <c r="K749" s="1">
        <v>-19666956</v>
      </c>
      <c r="L749" s="1">
        <v>921249943</v>
      </c>
      <c r="M749" s="1">
        <v>27979164</v>
      </c>
      <c r="N749" s="1">
        <v>219406054</v>
      </c>
      <c r="O749" s="1">
        <v>15898012</v>
      </c>
      <c r="P749" s="1">
        <v>402191143</v>
      </c>
      <c r="Q749" s="1">
        <v>149450225</v>
      </c>
      <c r="R749" s="1">
        <v>169117181</v>
      </c>
      <c r="S749" s="1">
        <v>57376674</v>
      </c>
      <c r="T749" s="1">
        <v>0.15564</v>
      </c>
      <c r="U749">
        <f t="shared" si="77"/>
        <v>0.37367166184975897</v>
      </c>
      <c r="V749">
        <f t="shared" si="78"/>
        <v>-1.8856661460904367</v>
      </c>
      <c r="W749">
        <f t="shared" si="79"/>
        <v>0.23405736681711795</v>
      </c>
      <c r="X749">
        <f t="shared" si="80"/>
        <v>1</v>
      </c>
      <c r="Y749">
        <f t="shared" si="81"/>
        <v>0</v>
      </c>
      <c r="Z749">
        <f t="shared" si="82"/>
        <v>0</v>
      </c>
      <c r="AA749">
        <f t="shared" si="83"/>
        <v>0</v>
      </c>
    </row>
    <row r="750" spans="1:27" x14ac:dyDescent="0.35">
      <c r="A750" s="1">
        <v>2.0845945371536101</v>
      </c>
      <c r="B750" s="1">
        <v>4.9016004645449902</v>
      </c>
      <c r="C750" s="1">
        <v>6.2340750001656002E-2</v>
      </c>
      <c r="D750" s="1">
        <v>101.22826000000001</v>
      </c>
      <c r="E750" s="1">
        <v>40.883809999999997</v>
      </c>
      <c r="F750" s="1">
        <v>1.7057899999999999</v>
      </c>
      <c r="G750" s="1">
        <v>0.70775999999999994</v>
      </c>
      <c r="H750" s="1">
        <v>0.242348066097021</v>
      </c>
      <c r="I750" s="1">
        <v>-5.4420000000000003E-2</v>
      </c>
      <c r="J750" s="1">
        <v>76220414</v>
      </c>
      <c r="K750" s="1">
        <v>-49837731</v>
      </c>
      <c r="L750" s="1">
        <v>915784613</v>
      </c>
      <c r="M750" s="1">
        <v>29156544</v>
      </c>
      <c r="N750" s="1">
        <v>222600886</v>
      </c>
      <c r="O750" s="1">
        <v>19147361</v>
      </c>
      <c r="P750" s="1">
        <v>374407662</v>
      </c>
      <c r="Q750" s="1">
        <v>120699074</v>
      </c>
      <c r="R750" s="1">
        <v>170536805</v>
      </c>
      <c r="S750" s="1">
        <v>57261056</v>
      </c>
      <c r="T750" s="1">
        <v>0.17668</v>
      </c>
      <c r="U750">
        <f t="shared" si="77"/>
        <v>0.34597193974245311</v>
      </c>
      <c r="V750">
        <f t="shared" si="78"/>
        <v>-2.0608783315656218</v>
      </c>
      <c r="W750">
        <f t="shared" si="79"/>
        <v>0.18038134387283047</v>
      </c>
      <c r="X750">
        <f t="shared" si="80"/>
        <v>1</v>
      </c>
      <c r="Y750">
        <f t="shared" si="81"/>
        <v>0</v>
      </c>
      <c r="Z750">
        <f t="shared" si="82"/>
        <v>0</v>
      </c>
      <c r="AA750">
        <f t="shared" si="83"/>
        <v>0</v>
      </c>
    </row>
    <row r="751" spans="1:27" x14ac:dyDescent="0.35">
      <c r="A751" s="1">
        <v>0.43870001481433801</v>
      </c>
      <c r="B751" s="1">
        <v>0.10514998367464901</v>
      </c>
      <c r="C751" s="1">
        <v>5.7719825806849E-2</v>
      </c>
      <c r="D751" s="1">
        <v>126.07079</v>
      </c>
      <c r="E751" s="1">
        <v>44.997889999999998</v>
      </c>
      <c r="F751" s="1">
        <v>1.5519499999999999</v>
      </c>
      <c r="G751" s="1">
        <v>0.54671000000000003</v>
      </c>
      <c r="H751" s="1">
        <v>0.256860582899267</v>
      </c>
      <c r="I751" s="1">
        <v>-0.13988</v>
      </c>
      <c r="J751" s="1">
        <v>6953283</v>
      </c>
      <c r="K751" s="1">
        <v>-138640255</v>
      </c>
      <c r="L751" s="1">
        <v>991158564</v>
      </c>
      <c r="M751" s="1">
        <v>12071250</v>
      </c>
      <c r="N751" s="1">
        <v>244909268</v>
      </c>
      <c r="O751" s="1">
        <v>4182880</v>
      </c>
      <c r="P751" s="1">
        <v>446000411</v>
      </c>
      <c r="Q751" s="1">
        <v>167212025</v>
      </c>
      <c r="R751" s="1">
        <v>305852280</v>
      </c>
      <c r="S751" s="1">
        <v>55034214</v>
      </c>
      <c r="T751" s="1">
        <v>0.16727</v>
      </c>
      <c r="U751">
        <f t="shared" si="77"/>
        <v>0.15127506753846709</v>
      </c>
      <c r="V751">
        <f t="shared" si="78"/>
        <v>-1.7519244715552003</v>
      </c>
      <c r="W751">
        <f t="shared" si="79"/>
        <v>1.5278088172782018E-2</v>
      </c>
      <c r="X751">
        <f t="shared" si="80"/>
        <v>1</v>
      </c>
      <c r="Y751">
        <f t="shared" si="81"/>
        <v>0</v>
      </c>
      <c r="Z751">
        <f t="shared" si="82"/>
        <v>0</v>
      </c>
      <c r="AA751">
        <f t="shared" si="83"/>
        <v>0</v>
      </c>
    </row>
    <row r="752" spans="1:27" x14ac:dyDescent="0.35">
      <c r="A752" s="1">
        <v>0.199512330783121</v>
      </c>
      <c r="B752" s="1">
        <v>-2.0339491337927198</v>
      </c>
      <c r="C752" s="1">
        <v>9.7169150535217005E-2</v>
      </c>
      <c r="D752" s="1">
        <v>109.54430000000001</v>
      </c>
      <c r="E752" s="1">
        <v>42.645969999999998</v>
      </c>
      <c r="F752" s="1">
        <v>2.6449099999999999</v>
      </c>
      <c r="G752" s="1">
        <v>0.60521000000000003</v>
      </c>
      <c r="H752" s="1">
        <v>0.25387778422370799</v>
      </c>
      <c r="I752" s="1">
        <v>-0.10126</v>
      </c>
      <c r="J752" s="1">
        <v>85790833</v>
      </c>
      <c r="K752" s="1">
        <v>-97241410</v>
      </c>
      <c r="L752" s="1">
        <v>960313801</v>
      </c>
      <c r="M752" s="1">
        <v>3698717</v>
      </c>
      <c r="N752" s="1">
        <v>247717740</v>
      </c>
      <c r="O752" s="1">
        <v>1946714</v>
      </c>
      <c r="P752" s="1">
        <v>409535112</v>
      </c>
      <c r="Q752" s="1">
        <v>149067922</v>
      </c>
      <c r="R752" s="1">
        <v>246309332</v>
      </c>
      <c r="S752" s="1">
        <v>94811456</v>
      </c>
      <c r="T752" s="1">
        <v>0.17069000000000001</v>
      </c>
      <c r="U752">
        <f t="shared" si="77"/>
        <v>0.3118951440570904</v>
      </c>
      <c r="V752">
        <f t="shared" si="78"/>
        <v>-1.8758812648107159</v>
      </c>
      <c r="W752">
        <f t="shared" si="79"/>
        <v>0.22602914128587012</v>
      </c>
      <c r="X752">
        <f t="shared" si="80"/>
        <v>1</v>
      </c>
      <c r="Y752">
        <f t="shared" si="81"/>
        <v>0</v>
      </c>
      <c r="Z752">
        <f t="shared" si="82"/>
        <v>0</v>
      </c>
      <c r="AA752">
        <f t="shared" si="83"/>
        <v>0</v>
      </c>
    </row>
    <row r="753" spans="1:27" x14ac:dyDescent="0.35">
      <c r="A753" s="1">
        <v>0.921183555637482</v>
      </c>
      <c r="B753" s="1">
        <v>-0.92634514162321002</v>
      </c>
      <c r="C753" s="1">
        <v>3.4520636386652002E-2</v>
      </c>
      <c r="D753" s="1">
        <v>66.517489999999995</v>
      </c>
      <c r="E753" s="1">
        <v>31.543410000000002</v>
      </c>
      <c r="F753" s="1">
        <v>0.96082000000000001</v>
      </c>
      <c r="G753" s="1">
        <v>0.65893999999999997</v>
      </c>
      <c r="H753" s="1">
        <v>0.26332747406644103</v>
      </c>
      <c r="I753" s="1">
        <v>-8.6360000000000006E-2</v>
      </c>
      <c r="J753" s="1">
        <v>81883347</v>
      </c>
      <c r="K753" s="1">
        <v>-72618773</v>
      </c>
      <c r="L753" s="1">
        <v>840843840</v>
      </c>
      <c r="M753" s="1">
        <v>17467744</v>
      </c>
      <c r="N753" s="1">
        <v>237147146</v>
      </c>
      <c r="O753" s="1">
        <v>7962797</v>
      </c>
      <c r="P753" s="1">
        <v>265230840</v>
      </c>
      <c r="Q753" s="1">
        <v>140301287</v>
      </c>
      <c r="R753" s="1">
        <v>212920060</v>
      </c>
      <c r="S753" s="1">
        <v>31088554</v>
      </c>
      <c r="T753" s="1">
        <v>0.19284999999999999</v>
      </c>
      <c r="U753">
        <f t="shared" si="77"/>
        <v>0.19151175849058427</v>
      </c>
      <c r="V753">
        <f t="shared" si="78"/>
        <v>-2.5420047698812609</v>
      </c>
      <c r="W753">
        <f t="shared" si="79"/>
        <v>4.0506886508201091E-2</v>
      </c>
      <c r="X753">
        <f t="shared" si="80"/>
        <v>1</v>
      </c>
      <c r="Y753">
        <f t="shared" si="81"/>
        <v>0</v>
      </c>
      <c r="Z753">
        <f t="shared" si="82"/>
        <v>0</v>
      </c>
      <c r="AA753">
        <f t="shared" si="83"/>
        <v>0</v>
      </c>
    </row>
    <row r="754" spans="1:27" x14ac:dyDescent="0.35">
      <c r="A754" s="1">
        <v>-1.94512360121802</v>
      </c>
      <c r="B754" s="1">
        <v>-6.9657236469740598</v>
      </c>
      <c r="C754" s="1">
        <v>1.9304701646910001E-3</v>
      </c>
      <c r="D754" s="1">
        <v>74.973050000000001</v>
      </c>
      <c r="E754" s="1">
        <v>35.33802</v>
      </c>
      <c r="F754" s="1">
        <v>6.6559999999999994E-2</v>
      </c>
      <c r="G754" s="1">
        <v>0.46364</v>
      </c>
      <c r="H754" s="1">
        <v>0.12160966812307</v>
      </c>
      <c r="I754" s="1">
        <v>-0.14635000000000001</v>
      </c>
      <c r="J754" s="1">
        <v>-24770291</v>
      </c>
      <c r="K754" s="1">
        <v>-118287995</v>
      </c>
      <c r="L754">
        <v>808230079</v>
      </c>
      <c r="M754">
        <v>-12064527</v>
      </c>
      <c r="N754">
        <v>100271666</v>
      </c>
      <c r="O754" s="1">
        <v>-16038263</v>
      </c>
      <c r="P754">
        <v>285612472</v>
      </c>
      <c r="Q754">
        <v>102249663</v>
      </c>
      <c r="R754">
        <v>220537658</v>
      </c>
      <c r="S754">
        <v>1591744</v>
      </c>
      <c r="T754">
        <v>0.17224999999999999</v>
      </c>
      <c r="U754">
        <f t="shared" si="77"/>
        <v>-0.13117890743331134</v>
      </c>
      <c r="V754">
        <f t="shared" si="78"/>
        <v>-2.194581972163911</v>
      </c>
      <c r="W754">
        <f t="shared" si="79"/>
        <v>-0.1780982873801211</v>
      </c>
      <c r="X754">
        <f t="shared" si="80"/>
        <v>1</v>
      </c>
      <c r="Y754">
        <f t="shared" si="81"/>
        <v>0</v>
      </c>
      <c r="Z754">
        <f t="shared" si="82"/>
        <v>1</v>
      </c>
      <c r="AA754">
        <f t="shared" si="83"/>
        <v>1</v>
      </c>
    </row>
    <row r="755" spans="1:27" x14ac:dyDescent="0.35">
      <c r="A755" s="1">
        <v>6.9821435383212005E-2</v>
      </c>
      <c r="B755" s="1">
        <v>-3.3922996647504902</v>
      </c>
      <c r="C755" s="1">
        <v>5.7460443697465002E-2</v>
      </c>
      <c r="D755" s="1">
        <v>87.552980000000005</v>
      </c>
      <c r="E755" s="1">
        <v>39.054479999999998</v>
      </c>
      <c r="F755" s="1">
        <v>2.9572699999999998</v>
      </c>
      <c r="G755" s="1">
        <v>0.58826000000000001</v>
      </c>
      <c r="H755" s="1">
        <v>0.204164197846951</v>
      </c>
      <c r="I755" s="1">
        <v>-0.10134</v>
      </c>
      <c r="J755" s="1">
        <v>31372189</v>
      </c>
      <c r="K755" s="1">
        <v>-87000246</v>
      </c>
      <c r="L755">
        <v>858524541</v>
      </c>
      <c r="M755">
        <v>12778001</v>
      </c>
      <c r="N755">
        <v>170145810</v>
      </c>
      <c r="O755" s="1">
        <v>581876</v>
      </c>
      <c r="P755">
        <v>335292307</v>
      </c>
      <c r="Q755">
        <v>124300510</v>
      </c>
      <c r="R755">
        <v>211300756</v>
      </c>
      <c r="S755">
        <v>47886230</v>
      </c>
      <c r="T755">
        <v>0.15065000000000001</v>
      </c>
      <c r="U755">
        <f t="shared" si="77"/>
        <v>0.18604524733834962</v>
      </c>
      <c r="V755">
        <f t="shared" si="78"/>
        <v>-2.0745914402396015</v>
      </c>
      <c r="W755">
        <f t="shared" si="79"/>
        <v>7.9671024655077374E-2</v>
      </c>
      <c r="X755">
        <f t="shared" si="80"/>
        <v>1</v>
      </c>
      <c r="Y755">
        <f t="shared" si="81"/>
        <v>0</v>
      </c>
      <c r="Z755">
        <f t="shared" si="82"/>
        <v>0</v>
      </c>
      <c r="AA755">
        <f t="shared" si="83"/>
        <v>0</v>
      </c>
    </row>
    <row r="756" spans="1:27" x14ac:dyDescent="0.35">
      <c r="A756" s="1">
        <v>2.0492278200754899</v>
      </c>
      <c r="B756" s="1">
        <v>3.1577368380089599</v>
      </c>
      <c r="C756" s="1">
        <v>5.6905886742984003E-2</v>
      </c>
      <c r="D756" s="1">
        <v>79.697509999999994</v>
      </c>
      <c r="E756" s="1">
        <v>37.010060000000003</v>
      </c>
      <c r="F756" s="1">
        <v>5.0206</v>
      </c>
      <c r="G756" s="1">
        <v>0.79722000000000004</v>
      </c>
      <c r="H756" s="1">
        <v>0.27359843279283702</v>
      </c>
      <c r="I756" s="1">
        <v>-3.8199999999999998E-2</v>
      </c>
      <c r="J756" s="1">
        <v>68558294</v>
      </c>
      <c r="K756" s="1">
        <v>-33104965</v>
      </c>
      <c r="L756">
        <v>866711065</v>
      </c>
      <c r="M756">
        <v>23666362</v>
      </c>
      <c r="N756">
        <v>236010879</v>
      </c>
      <c r="O756" s="1">
        <v>17677004</v>
      </c>
      <c r="P756">
        <v>320770298</v>
      </c>
      <c r="Q756">
        <v>130147529</v>
      </c>
      <c r="R756">
        <v>163252494</v>
      </c>
      <c r="S756">
        <v>49088031</v>
      </c>
      <c r="T756">
        <v>0.16191</v>
      </c>
      <c r="U756">
        <f t="shared" si="77"/>
        <v>0.33913533488360181</v>
      </c>
      <c r="V756">
        <f t="shared" si="78"/>
        <v>-2.2790173730804102</v>
      </c>
      <c r="W756">
        <f t="shared" si="79"/>
        <v>0.18709560151167565</v>
      </c>
      <c r="X756">
        <f t="shared" si="80"/>
        <v>1</v>
      </c>
      <c r="Y756">
        <f t="shared" si="81"/>
        <v>0</v>
      </c>
      <c r="Z756">
        <f t="shared" si="82"/>
        <v>0</v>
      </c>
      <c r="AA756">
        <f t="shared" si="83"/>
        <v>0</v>
      </c>
    </row>
    <row r="757" spans="1:27" x14ac:dyDescent="0.35">
      <c r="A757" s="1" t="s">
        <v>3</v>
      </c>
      <c r="B757" s="1" t="s">
        <v>3</v>
      </c>
      <c r="C757" s="1" t="s">
        <v>3</v>
      </c>
      <c r="D757" s="1" t="s">
        <v>3</v>
      </c>
      <c r="E757" s="1" t="s">
        <v>3</v>
      </c>
      <c r="F757" s="1" t="s">
        <v>3</v>
      </c>
      <c r="G757" s="1" t="s">
        <v>3</v>
      </c>
      <c r="H757" s="1" t="s">
        <v>3</v>
      </c>
      <c r="I757" s="1" t="s">
        <v>3</v>
      </c>
      <c r="J757" s="1" t="s">
        <v>3</v>
      </c>
      <c r="K757" s="1" t="s">
        <v>3</v>
      </c>
      <c r="L757" s="1" t="s">
        <v>3</v>
      </c>
      <c r="M757" s="1" t="s">
        <v>3</v>
      </c>
      <c r="N757" s="1" t="s">
        <v>3</v>
      </c>
      <c r="O757" s="1" t="s">
        <v>3</v>
      </c>
      <c r="P757" s="1" t="s">
        <v>3</v>
      </c>
      <c r="Q757" s="1" t="s">
        <v>3</v>
      </c>
      <c r="R757" s="1" t="s">
        <v>3</v>
      </c>
      <c r="S757" s="1" t="s">
        <v>3</v>
      </c>
      <c r="T757" s="1" t="s">
        <v>3</v>
      </c>
      <c r="U757" t="e">
        <f t="shared" si="77"/>
        <v>#VALUE!</v>
      </c>
      <c r="V757" t="e">
        <f t="shared" si="78"/>
        <v>#VALUE!</v>
      </c>
      <c r="W757" t="e">
        <f t="shared" si="79"/>
        <v>#VALUE!</v>
      </c>
      <c r="X757" t="e">
        <f t="shared" si="80"/>
        <v>#VALUE!</v>
      </c>
      <c r="Y757" t="e">
        <f t="shared" si="81"/>
        <v>#VALUE!</v>
      </c>
      <c r="Z757" t="e">
        <f t="shared" si="82"/>
        <v>#VALUE!</v>
      </c>
      <c r="AA757" t="e">
        <f t="shared" si="83"/>
        <v>#VALUE!</v>
      </c>
    </row>
    <row r="758" spans="1:27" x14ac:dyDescent="0.35">
      <c r="A758" s="1" t="s">
        <v>3</v>
      </c>
      <c r="B758" s="1" t="s">
        <v>3</v>
      </c>
      <c r="C758" s="1" t="s">
        <v>3</v>
      </c>
      <c r="D758" s="1" t="s">
        <v>3</v>
      </c>
      <c r="E758" s="1" t="s">
        <v>3</v>
      </c>
      <c r="F758" s="1" t="s">
        <v>3</v>
      </c>
      <c r="G758" s="1" t="s">
        <v>3</v>
      </c>
      <c r="H758" s="1" t="s">
        <v>3</v>
      </c>
      <c r="I758" s="1" t="s">
        <v>3</v>
      </c>
      <c r="J758" s="1" t="s">
        <v>3</v>
      </c>
      <c r="K758" s="1" t="s">
        <v>3</v>
      </c>
      <c r="L758" s="1" t="s">
        <v>3</v>
      </c>
      <c r="M758" s="1" t="s">
        <v>3</v>
      </c>
      <c r="N758" s="1" t="s">
        <v>3</v>
      </c>
      <c r="O758" s="1" t="s">
        <v>3</v>
      </c>
      <c r="P758" s="1" t="s">
        <v>3</v>
      </c>
      <c r="Q758" s="1" t="s">
        <v>3</v>
      </c>
      <c r="R758" s="1" t="s">
        <v>3</v>
      </c>
      <c r="S758" s="1" t="s">
        <v>3</v>
      </c>
      <c r="T758" s="1" t="s">
        <v>3</v>
      </c>
      <c r="U758" t="e">
        <f t="shared" si="77"/>
        <v>#VALUE!</v>
      </c>
      <c r="V758" t="e">
        <f t="shared" si="78"/>
        <v>#VALUE!</v>
      </c>
      <c r="W758" t="e">
        <f t="shared" si="79"/>
        <v>#VALUE!</v>
      </c>
      <c r="X758" t="e">
        <f t="shared" si="80"/>
        <v>#VALUE!</v>
      </c>
      <c r="Y758" t="e">
        <f t="shared" si="81"/>
        <v>#VALUE!</v>
      </c>
      <c r="Z758" t="e">
        <f t="shared" si="82"/>
        <v>#VALUE!</v>
      </c>
      <c r="AA758" t="e">
        <f t="shared" si="83"/>
        <v>#VALUE!</v>
      </c>
    </row>
    <row r="759" spans="1:27" x14ac:dyDescent="0.35">
      <c r="A759" s="1" t="s">
        <v>3</v>
      </c>
      <c r="B759" s="1" t="s">
        <v>3</v>
      </c>
      <c r="C759" s="1" t="s">
        <v>3</v>
      </c>
      <c r="D759" s="1" t="s">
        <v>3</v>
      </c>
      <c r="E759" s="1" t="s">
        <v>3</v>
      </c>
      <c r="F759" s="1" t="s">
        <v>3</v>
      </c>
      <c r="G759" s="1" t="s">
        <v>3</v>
      </c>
      <c r="H759" s="1" t="s">
        <v>3</v>
      </c>
      <c r="I759" s="1" t="s">
        <v>3</v>
      </c>
      <c r="J759" s="1" t="s">
        <v>3</v>
      </c>
      <c r="K759" s="1" t="s">
        <v>3</v>
      </c>
      <c r="L759" s="1" t="s">
        <v>3</v>
      </c>
      <c r="M759" s="1" t="s">
        <v>3</v>
      </c>
      <c r="N759" s="1" t="s">
        <v>3</v>
      </c>
      <c r="O759" s="1" t="s">
        <v>3</v>
      </c>
      <c r="P759" s="1" t="s">
        <v>3</v>
      </c>
      <c r="Q759" s="1" t="s">
        <v>3</v>
      </c>
      <c r="R759" s="1" t="s">
        <v>3</v>
      </c>
      <c r="S759" s="1" t="s">
        <v>3</v>
      </c>
      <c r="T759" s="1" t="s">
        <v>3</v>
      </c>
      <c r="U759" t="e">
        <f t="shared" si="77"/>
        <v>#VALUE!</v>
      </c>
      <c r="V759" t="e">
        <f t="shared" si="78"/>
        <v>#VALUE!</v>
      </c>
      <c r="W759" t="e">
        <f t="shared" si="79"/>
        <v>#VALUE!</v>
      </c>
      <c r="X759" t="e">
        <f t="shared" si="80"/>
        <v>#VALUE!</v>
      </c>
      <c r="Y759" t="e">
        <f t="shared" si="81"/>
        <v>#VALUE!</v>
      </c>
      <c r="Z759" t="e">
        <f t="shared" si="82"/>
        <v>#VALUE!</v>
      </c>
      <c r="AA759" t="e">
        <f t="shared" si="83"/>
        <v>#VALUE!</v>
      </c>
    </row>
    <row r="760" spans="1:27" x14ac:dyDescent="0.35">
      <c r="A760" s="1" t="s">
        <v>3</v>
      </c>
      <c r="B760" s="1" t="s">
        <v>3</v>
      </c>
      <c r="C760" s="1" t="s">
        <v>3</v>
      </c>
      <c r="D760" s="1" t="s">
        <v>3</v>
      </c>
      <c r="E760" s="1" t="s">
        <v>3</v>
      </c>
      <c r="F760" s="1" t="s">
        <v>3</v>
      </c>
      <c r="G760" s="1" t="s">
        <v>3</v>
      </c>
      <c r="H760" s="1" t="s">
        <v>3</v>
      </c>
      <c r="I760" s="1" t="s">
        <v>3</v>
      </c>
      <c r="J760" s="1" t="s">
        <v>3</v>
      </c>
      <c r="K760" s="1" t="s">
        <v>3</v>
      </c>
      <c r="L760" s="1" t="s">
        <v>3</v>
      </c>
      <c r="M760" s="1" t="s">
        <v>3</v>
      </c>
      <c r="N760" s="1" t="s">
        <v>3</v>
      </c>
      <c r="O760" s="1" t="s">
        <v>3</v>
      </c>
      <c r="P760" s="1" t="s">
        <v>3</v>
      </c>
      <c r="Q760" s="1" t="s">
        <v>3</v>
      </c>
      <c r="R760" s="1" t="s">
        <v>3</v>
      </c>
      <c r="S760" s="1" t="s">
        <v>3</v>
      </c>
      <c r="T760" s="1" t="s">
        <v>3</v>
      </c>
      <c r="U760" t="e">
        <f t="shared" si="77"/>
        <v>#VALUE!</v>
      </c>
      <c r="V760" t="e">
        <f t="shared" si="78"/>
        <v>#VALUE!</v>
      </c>
      <c r="W760" t="e">
        <f t="shared" si="79"/>
        <v>#VALUE!</v>
      </c>
      <c r="X760" t="e">
        <f t="shared" si="80"/>
        <v>#VALUE!</v>
      </c>
      <c r="Y760" t="e">
        <f t="shared" si="81"/>
        <v>#VALUE!</v>
      </c>
      <c r="Z760" t="e">
        <f t="shared" si="82"/>
        <v>#VALUE!</v>
      </c>
      <c r="AA760" t="e">
        <f t="shared" si="83"/>
        <v>#VALUE!</v>
      </c>
    </row>
    <row r="761" spans="1:27" x14ac:dyDescent="0.35">
      <c r="A761" s="1" t="s">
        <v>3</v>
      </c>
      <c r="B761" s="1" t="s">
        <v>3</v>
      </c>
      <c r="C761" s="1" t="s">
        <v>3</v>
      </c>
      <c r="D761" s="1" t="s">
        <v>3</v>
      </c>
      <c r="E761" s="1" t="s">
        <v>3</v>
      </c>
      <c r="F761" s="1" t="s">
        <v>3</v>
      </c>
      <c r="G761" s="1" t="s">
        <v>3</v>
      </c>
      <c r="H761" s="1" t="s">
        <v>3</v>
      </c>
      <c r="I761" s="1" t="s">
        <v>3</v>
      </c>
      <c r="J761" s="1" t="s">
        <v>3</v>
      </c>
      <c r="K761" s="1" t="s">
        <v>3</v>
      </c>
      <c r="L761" s="1" t="s">
        <v>3</v>
      </c>
      <c r="M761" s="1" t="s">
        <v>3</v>
      </c>
      <c r="N761" s="1" t="s">
        <v>3</v>
      </c>
      <c r="O761" s="1" t="s">
        <v>3</v>
      </c>
      <c r="P761" s="1" t="s">
        <v>3</v>
      </c>
      <c r="Q761" s="1" t="s">
        <v>3</v>
      </c>
      <c r="R761" s="1" t="s">
        <v>3</v>
      </c>
      <c r="S761" s="1" t="s">
        <v>3</v>
      </c>
      <c r="T761" s="1" t="s">
        <v>3</v>
      </c>
      <c r="U761" t="e">
        <f t="shared" si="77"/>
        <v>#VALUE!</v>
      </c>
      <c r="V761" t="e">
        <f t="shared" si="78"/>
        <v>#VALUE!</v>
      </c>
      <c r="W761" t="e">
        <f t="shared" si="79"/>
        <v>#VALUE!</v>
      </c>
      <c r="X761" t="e">
        <f t="shared" si="80"/>
        <v>#VALUE!</v>
      </c>
      <c r="Y761" t="e">
        <f t="shared" si="81"/>
        <v>#VALUE!</v>
      </c>
      <c r="Z761" t="e">
        <f t="shared" si="82"/>
        <v>#VALUE!</v>
      </c>
      <c r="AA761" t="e">
        <f t="shared" si="83"/>
        <v>#VALUE!</v>
      </c>
    </row>
    <row r="762" spans="1:27" x14ac:dyDescent="0.35">
      <c r="A762" s="1" t="s">
        <v>3</v>
      </c>
      <c r="B762" s="1" t="s">
        <v>3</v>
      </c>
      <c r="C762" s="1" t="s">
        <v>3</v>
      </c>
      <c r="D762" s="1" t="s">
        <v>3</v>
      </c>
      <c r="E762" s="1" t="s">
        <v>3</v>
      </c>
      <c r="F762" s="1" t="s">
        <v>3</v>
      </c>
      <c r="G762" s="1" t="s">
        <v>3</v>
      </c>
      <c r="H762" s="1" t="s">
        <v>3</v>
      </c>
      <c r="I762" s="1" t="s">
        <v>3</v>
      </c>
      <c r="J762" s="1" t="s">
        <v>3</v>
      </c>
      <c r="K762" s="1" t="s">
        <v>3</v>
      </c>
      <c r="L762" s="1" t="s">
        <v>3</v>
      </c>
      <c r="M762" s="1" t="s">
        <v>3</v>
      </c>
      <c r="N762" s="1" t="s">
        <v>3</v>
      </c>
      <c r="O762" s="1" t="s">
        <v>3</v>
      </c>
      <c r="P762" s="1" t="s">
        <v>3</v>
      </c>
      <c r="Q762" s="1" t="s">
        <v>3</v>
      </c>
      <c r="R762" s="1" t="s">
        <v>3</v>
      </c>
      <c r="S762" s="1" t="s">
        <v>3</v>
      </c>
      <c r="T762" s="1" t="s">
        <v>3</v>
      </c>
      <c r="U762" t="e">
        <f t="shared" si="77"/>
        <v>#VALUE!</v>
      </c>
      <c r="V762" t="e">
        <f t="shared" si="78"/>
        <v>#VALUE!</v>
      </c>
      <c r="W762" t="e">
        <f t="shared" si="79"/>
        <v>#VALUE!</v>
      </c>
      <c r="X762" t="e">
        <f t="shared" si="80"/>
        <v>#VALUE!</v>
      </c>
      <c r="Y762" t="e">
        <f t="shared" si="81"/>
        <v>#VALUE!</v>
      </c>
      <c r="Z762" t="e">
        <f t="shared" si="82"/>
        <v>#VALUE!</v>
      </c>
      <c r="AA762" t="e">
        <f t="shared" si="83"/>
        <v>#VALUE!</v>
      </c>
    </row>
    <row r="763" spans="1:27" x14ac:dyDescent="0.35">
      <c r="A763" s="1" t="s">
        <v>3</v>
      </c>
      <c r="B763" s="1" t="s">
        <v>3</v>
      </c>
      <c r="C763" s="1" t="s">
        <v>3</v>
      </c>
      <c r="D763" s="1" t="s">
        <v>3</v>
      </c>
      <c r="E763" s="1" t="s">
        <v>3</v>
      </c>
      <c r="F763" s="1" t="s">
        <v>3</v>
      </c>
      <c r="G763" s="1" t="s">
        <v>3</v>
      </c>
      <c r="H763" s="1" t="s">
        <v>3</v>
      </c>
      <c r="I763" s="1" t="s">
        <v>3</v>
      </c>
      <c r="J763" s="1" t="s">
        <v>3</v>
      </c>
      <c r="K763" s="1" t="s">
        <v>3</v>
      </c>
      <c r="L763" s="1" t="s">
        <v>3</v>
      </c>
      <c r="M763" s="1" t="s">
        <v>3</v>
      </c>
      <c r="N763" s="1" t="s">
        <v>3</v>
      </c>
      <c r="O763" s="1" t="s">
        <v>3</v>
      </c>
      <c r="P763" s="1" t="s">
        <v>3</v>
      </c>
      <c r="Q763" s="1" t="s">
        <v>3</v>
      </c>
      <c r="R763" s="1" t="s">
        <v>3</v>
      </c>
      <c r="S763" s="1" t="s">
        <v>3</v>
      </c>
      <c r="T763" s="1" t="s">
        <v>3</v>
      </c>
      <c r="U763" t="e">
        <f t="shared" si="77"/>
        <v>#VALUE!</v>
      </c>
      <c r="V763" t="e">
        <f t="shared" si="78"/>
        <v>#VALUE!</v>
      </c>
      <c r="W763" t="e">
        <f t="shared" si="79"/>
        <v>#VALUE!</v>
      </c>
      <c r="X763" t="e">
        <f t="shared" si="80"/>
        <v>#VALUE!</v>
      </c>
      <c r="Y763" t="e">
        <f t="shared" si="81"/>
        <v>#VALUE!</v>
      </c>
      <c r="Z763" t="e">
        <f t="shared" si="82"/>
        <v>#VALUE!</v>
      </c>
      <c r="AA763" t="e">
        <f t="shared" si="83"/>
        <v>#VALUE!</v>
      </c>
    </row>
    <row r="764" spans="1:27" x14ac:dyDescent="0.35">
      <c r="A764" s="1" t="s">
        <v>3</v>
      </c>
      <c r="B764" s="1" t="s">
        <v>3</v>
      </c>
      <c r="C764" s="1" t="s">
        <v>3</v>
      </c>
      <c r="D764" s="1" t="s">
        <v>3</v>
      </c>
      <c r="E764" s="1" t="s">
        <v>3</v>
      </c>
      <c r="F764" s="1" t="s">
        <v>3</v>
      </c>
      <c r="G764" s="1" t="s">
        <v>3</v>
      </c>
      <c r="H764" s="1" t="s">
        <v>3</v>
      </c>
      <c r="I764" s="1" t="s">
        <v>3</v>
      </c>
      <c r="J764" s="1" t="s">
        <v>3</v>
      </c>
      <c r="K764" s="1" t="s">
        <v>3</v>
      </c>
      <c r="L764" s="1" t="s">
        <v>3</v>
      </c>
      <c r="M764" s="1" t="s">
        <v>3</v>
      </c>
      <c r="N764" s="1" t="s">
        <v>3</v>
      </c>
      <c r="O764" s="1" t="s">
        <v>3</v>
      </c>
      <c r="P764" s="1" t="s">
        <v>3</v>
      </c>
      <c r="Q764" s="1" t="s">
        <v>3</v>
      </c>
      <c r="R764" s="1" t="s">
        <v>3</v>
      </c>
      <c r="S764" s="1" t="s">
        <v>3</v>
      </c>
      <c r="T764" s="1" t="s">
        <v>3</v>
      </c>
      <c r="U764" t="e">
        <f t="shared" si="77"/>
        <v>#VALUE!</v>
      </c>
      <c r="V764" t="e">
        <f t="shared" si="78"/>
        <v>#VALUE!</v>
      </c>
      <c r="W764" t="e">
        <f t="shared" si="79"/>
        <v>#VALUE!</v>
      </c>
      <c r="X764" t="e">
        <f t="shared" si="80"/>
        <v>#VALUE!</v>
      </c>
      <c r="Y764" t="e">
        <f t="shared" si="81"/>
        <v>#VALUE!</v>
      </c>
      <c r="Z764" t="e">
        <f t="shared" si="82"/>
        <v>#VALUE!</v>
      </c>
      <c r="AA764" t="e">
        <f t="shared" si="83"/>
        <v>#VALUE!</v>
      </c>
    </row>
    <row r="765" spans="1:27" x14ac:dyDescent="0.35">
      <c r="A765" s="1" t="s">
        <v>3</v>
      </c>
      <c r="B765" s="1" t="s">
        <v>3</v>
      </c>
      <c r="C765" s="1" t="s">
        <v>3</v>
      </c>
      <c r="D765" s="1" t="s">
        <v>3</v>
      </c>
      <c r="E765" s="1" t="s">
        <v>3</v>
      </c>
      <c r="F765" s="1" t="s">
        <v>3</v>
      </c>
      <c r="G765" s="1" t="s">
        <v>3</v>
      </c>
      <c r="H765" s="1" t="s">
        <v>3</v>
      </c>
      <c r="I765" s="1" t="s">
        <v>3</v>
      </c>
      <c r="J765" s="1" t="s">
        <v>3</v>
      </c>
      <c r="K765" s="1" t="s">
        <v>3</v>
      </c>
      <c r="L765" s="1" t="s">
        <v>3</v>
      </c>
      <c r="M765" s="1" t="s">
        <v>3</v>
      </c>
      <c r="N765" s="1" t="s">
        <v>3</v>
      </c>
      <c r="O765" s="1" t="s">
        <v>3</v>
      </c>
      <c r="P765" s="1" t="s">
        <v>3</v>
      </c>
      <c r="Q765" s="1" t="s">
        <v>3</v>
      </c>
      <c r="R765" s="1" t="s">
        <v>3</v>
      </c>
      <c r="S765" s="1" t="s">
        <v>3</v>
      </c>
      <c r="T765" s="1" t="s">
        <v>3</v>
      </c>
      <c r="U765" t="e">
        <f t="shared" si="77"/>
        <v>#VALUE!</v>
      </c>
      <c r="V765" t="e">
        <f t="shared" si="78"/>
        <v>#VALUE!</v>
      </c>
      <c r="W765" t="e">
        <f t="shared" si="79"/>
        <v>#VALUE!</v>
      </c>
      <c r="X765" t="e">
        <f t="shared" si="80"/>
        <v>#VALUE!</v>
      </c>
      <c r="Y765" t="e">
        <f t="shared" si="81"/>
        <v>#VALUE!</v>
      </c>
      <c r="Z765" t="e">
        <f t="shared" si="82"/>
        <v>#VALUE!</v>
      </c>
      <c r="AA765" t="e">
        <f t="shared" si="83"/>
        <v>#VALUE!</v>
      </c>
    </row>
    <row r="766" spans="1:27" x14ac:dyDescent="0.35">
      <c r="A766" s="1" t="s">
        <v>3</v>
      </c>
      <c r="B766" s="1" t="s">
        <v>3</v>
      </c>
      <c r="C766" s="1" t="s">
        <v>3</v>
      </c>
      <c r="D766" s="1">
        <v>178.59061</v>
      </c>
      <c r="E766" s="1">
        <v>63.345829999999999</v>
      </c>
      <c r="F766" s="1">
        <v>1.5429299999999999</v>
      </c>
      <c r="G766" s="1">
        <v>0.48098000000000002</v>
      </c>
      <c r="H766" s="1" t="s">
        <v>3</v>
      </c>
      <c r="I766" s="1">
        <v>-0.10920000000000001</v>
      </c>
      <c r="J766" s="1">
        <v>5547609</v>
      </c>
      <c r="K766" s="1">
        <v>-8967902</v>
      </c>
      <c r="L766">
        <v>82121019</v>
      </c>
      <c r="M766">
        <v>8399216</v>
      </c>
      <c r="N766">
        <v>18363336</v>
      </c>
      <c r="O766">
        <v>8405230</v>
      </c>
      <c r="P766">
        <v>52020245</v>
      </c>
      <c r="Q766">
        <v>8310552</v>
      </c>
      <c r="R766">
        <v>17278454</v>
      </c>
      <c r="S766">
        <v>7024554</v>
      </c>
      <c r="T766">
        <v>0.31398999999999999</v>
      </c>
      <c r="U766">
        <f t="shared" si="77"/>
        <v>0.56040262386534634</v>
      </c>
      <c r="V766">
        <f t="shared" si="78"/>
        <v>-1.1479463822392828</v>
      </c>
      <c r="W766">
        <f t="shared" si="79"/>
        <v>0.16962679529098387</v>
      </c>
      <c r="X766">
        <f t="shared" si="80"/>
        <v>1</v>
      </c>
      <c r="Y766">
        <f t="shared" si="81"/>
        <v>0</v>
      </c>
      <c r="Z766">
        <f t="shared" si="82"/>
        <v>0</v>
      </c>
      <c r="AA766">
        <f t="shared" si="83"/>
        <v>0</v>
      </c>
    </row>
    <row r="767" spans="1:27" x14ac:dyDescent="0.35">
      <c r="A767" s="1">
        <v>3.9365860385092799</v>
      </c>
      <c r="B767" s="1">
        <v>13.370745143026801</v>
      </c>
      <c r="C767" s="1">
        <v>8.7203341447243995E-2</v>
      </c>
      <c r="D767" s="1">
        <v>241.34085999999999</v>
      </c>
      <c r="E767" s="1">
        <v>61.863259999999997</v>
      </c>
      <c r="F767" s="1">
        <v>2.4913699999999999</v>
      </c>
      <c r="G767" s="1">
        <v>0.31763999999999998</v>
      </c>
      <c r="H767" s="1">
        <v>0.224190517965596</v>
      </c>
      <c r="I767" s="1">
        <v>-0.14727000000000001</v>
      </c>
      <c r="J767" s="1">
        <v>17709678</v>
      </c>
      <c r="K767" s="1">
        <v>-19140993</v>
      </c>
      <c r="L767">
        <v>129976060</v>
      </c>
      <c r="M767">
        <v>4009214</v>
      </c>
      <c r="N767">
        <v>23775077</v>
      </c>
      <c r="O767">
        <v>4174692</v>
      </c>
      <c r="P767">
        <v>80407430</v>
      </c>
      <c r="Q767">
        <v>8910221</v>
      </c>
      <c r="R767">
        <v>28051214</v>
      </c>
      <c r="S767">
        <v>9247787</v>
      </c>
      <c r="T767">
        <v>0.23050000000000001</v>
      </c>
      <c r="U767">
        <f t="shared" si="77"/>
        <v>0.23424470021716451</v>
      </c>
      <c r="V767">
        <f t="shared" si="78"/>
        <v>-0.91705871064597888</v>
      </c>
      <c r="W767">
        <f t="shared" si="79"/>
        <v>5.6720129768512748E-2</v>
      </c>
      <c r="X767">
        <f t="shared" si="80"/>
        <v>1</v>
      </c>
      <c r="Y767">
        <f t="shared" si="81"/>
        <v>0</v>
      </c>
      <c r="Z767">
        <f t="shared" si="82"/>
        <v>0</v>
      </c>
      <c r="AA767">
        <f t="shared" si="83"/>
        <v>0</v>
      </c>
    </row>
    <row r="768" spans="1:27" x14ac:dyDescent="0.35">
      <c r="A768" s="1">
        <v>3.7064613283386998</v>
      </c>
      <c r="B768" s="1">
        <v>13.187442158004901</v>
      </c>
      <c r="C768" s="1">
        <v>7.7603100738650996E-2</v>
      </c>
      <c r="D768" s="1">
        <v>192.56630999999999</v>
      </c>
      <c r="E768" s="1">
        <v>59.121229999999997</v>
      </c>
      <c r="F768" s="1">
        <v>2.1208999999999998</v>
      </c>
      <c r="G768" s="1">
        <v>0.37647000000000003</v>
      </c>
      <c r="H768" s="1">
        <v>0.19782424585210301</v>
      </c>
      <c r="I768" s="1">
        <v>-0.12911</v>
      </c>
      <c r="J768" s="1">
        <v>11496913</v>
      </c>
      <c r="K768" s="1">
        <v>-15986379</v>
      </c>
      <c r="L768">
        <v>123821273</v>
      </c>
      <c r="M768">
        <v>4543088</v>
      </c>
      <c r="N768">
        <v>25103633</v>
      </c>
      <c r="O768">
        <v>4703450</v>
      </c>
      <c r="P768">
        <v>73204659</v>
      </c>
      <c r="Q768">
        <v>9652286</v>
      </c>
      <c r="R768">
        <v>25638665</v>
      </c>
      <c r="S768">
        <v>9847730</v>
      </c>
      <c r="T768">
        <v>0.27994000000000002</v>
      </c>
      <c r="U768">
        <f t="shared" si="77"/>
        <v>0.30922710264165132</v>
      </c>
      <c r="V768">
        <f t="shared" si="78"/>
        <v>-1.0995201182624479</v>
      </c>
      <c r="W768">
        <f t="shared" si="79"/>
        <v>0.11530502784444799</v>
      </c>
      <c r="X768">
        <f t="shared" si="80"/>
        <v>1</v>
      </c>
      <c r="Y768">
        <f t="shared" si="81"/>
        <v>0</v>
      </c>
      <c r="Z768">
        <f t="shared" si="82"/>
        <v>0</v>
      </c>
      <c r="AA768">
        <f t="shared" si="83"/>
        <v>0</v>
      </c>
    </row>
    <row r="769" spans="1:27" x14ac:dyDescent="0.35">
      <c r="A769" s="1">
        <v>-5.8263226698744797</v>
      </c>
      <c r="B769" s="1">
        <v>-15.060188573165</v>
      </c>
      <c r="C769" s="1">
        <v>-1.2442421865442E-2</v>
      </c>
      <c r="D769" s="1">
        <v>101.3497</v>
      </c>
      <c r="E769" s="1">
        <v>48.33372</v>
      </c>
      <c r="F769" s="1">
        <v>-0.42316999999999999</v>
      </c>
      <c r="G769" s="1">
        <v>1.3751199999999999</v>
      </c>
      <c r="H769" s="1">
        <v>0.109230214503757</v>
      </c>
      <c r="I769" s="1">
        <v>1.503E-2</v>
      </c>
      <c r="J769" s="1">
        <v>2707637</v>
      </c>
      <c r="K769" s="1">
        <v>1651149</v>
      </c>
      <c r="L769">
        <v>109821022</v>
      </c>
      <c r="M769">
        <v>-7338984</v>
      </c>
      <c r="N769">
        <v>12760399</v>
      </c>
      <c r="O769">
        <v>-6806377</v>
      </c>
      <c r="P769">
        <v>53080590</v>
      </c>
      <c r="Q769">
        <v>6052839</v>
      </c>
      <c r="R769">
        <v>4401690</v>
      </c>
      <c r="S769">
        <v>-1453538</v>
      </c>
      <c r="T769">
        <v>0.25364999999999999</v>
      </c>
      <c r="U769">
        <f t="shared" si="77"/>
        <v>-1.079094945793573</v>
      </c>
      <c r="V769">
        <f t="shared" si="78"/>
        <v>-1.2605807661996202</v>
      </c>
      <c r="W769">
        <f t="shared" si="79"/>
        <v>3.5762267082162104E-2</v>
      </c>
      <c r="X769">
        <f t="shared" si="80"/>
        <v>1</v>
      </c>
      <c r="Y769">
        <f t="shared" si="81"/>
        <v>0</v>
      </c>
      <c r="Z769">
        <f t="shared" si="82"/>
        <v>0</v>
      </c>
      <c r="AA769">
        <f t="shared" si="83"/>
        <v>0</v>
      </c>
    </row>
    <row r="770" spans="1:27" x14ac:dyDescent="0.35">
      <c r="A770" s="1">
        <v>-2.8764760650434398</v>
      </c>
      <c r="B770" s="1">
        <v>-5.8700268622353704</v>
      </c>
      <c r="C770" s="1">
        <v>1.1326656795652E-2</v>
      </c>
      <c r="D770" s="1">
        <v>92.504170000000002</v>
      </c>
      <c r="E770" s="1">
        <v>46.54551</v>
      </c>
      <c r="F770" s="1">
        <v>0.39767999999999998</v>
      </c>
      <c r="G770" s="1">
        <v>0.77027999999999996</v>
      </c>
      <c r="H770" s="1">
        <v>0.13521243702451499</v>
      </c>
      <c r="I770" s="1">
        <v>-1.7270000000000001E-2</v>
      </c>
      <c r="J770" s="1">
        <v>-2312058</v>
      </c>
      <c r="K770" s="1">
        <v>-1894419</v>
      </c>
      <c r="L770">
        <v>109678875</v>
      </c>
      <c r="M770">
        <v>-3030320</v>
      </c>
      <c r="N770">
        <v>14839558</v>
      </c>
      <c r="O770">
        <v>-3156931</v>
      </c>
      <c r="P770">
        <v>51050590</v>
      </c>
      <c r="Q770">
        <v>6352145</v>
      </c>
      <c r="R770">
        <v>8246564</v>
      </c>
      <c r="S770">
        <v>1243100</v>
      </c>
      <c r="T770">
        <v>0.22520000000000001</v>
      </c>
      <c r="U770">
        <f t="shared" ref="U770:U833" si="84">1.03*(K770/L770) + 3.07*(S770/L770) + 0.66*(M770/R770) +0.4*(N770/L770)</f>
        <v>-0.17140180335693078</v>
      </c>
      <c r="V770">
        <f t="shared" ref="V770:V833" si="85">-4.3-4.5*(O770/L770)+5.7*(P770/L770)+0.004*(Q770/R770)</f>
        <v>-1.5142996060013336</v>
      </c>
      <c r="W770">
        <f t="shared" ref="W770:W833" si="86">0.057+1.65*(K770/L770)+3.404*(S770/L770)+0.016*(O770/L770)</f>
        <v>6.6620906067827557E-2</v>
      </c>
      <c r="X770">
        <f t="shared" si="80"/>
        <v>1</v>
      </c>
      <c r="Y770">
        <f t="shared" si="81"/>
        <v>0</v>
      </c>
      <c r="Z770">
        <f t="shared" si="82"/>
        <v>0</v>
      </c>
      <c r="AA770">
        <f t="shared" si="83"/>
        <v>0</v>
      </c>
    </row>
    <row r="771" spans="1:27" x14ac:dyDescent="0.35">
      <c r="A771" s="1">
        <v>-3.6580868330284</v>
      </c>
      <c r="B771" s="1">
        <v>-7.2040270494651102</v>
      </c>
      <c r="C771" s="1">
        <v>-8.4596685684870006E-3</v>
      </c>
      <c r="D771" s="1">
        <v>86.54016</v>
      </c>
      <c r="E771" s="1">
        <v>44.380699999999997</v>
      </c>
      <c r="F771" s="1">
        <v>-0.30946000000000001</v>
      </c>
      <c r="G771" s="1">
        <v>0.41438000000000003</v>
      </c>
      <c r="H771" s="1">
        <v>0.14550452084915899</v>
      </c>
      <c r="I771" s="1">
        <v>-6.9290000000000004E-2</v>
      </c>
      <c r="J771" s="1">
        <v>5438097</v>
      </c>
      <c r="K771" s="1">
        <v>-6939890</v>
      </c>
      <c r="L771">
        <v>100157478</v>
      </c>
      <c r="M771">
        <v>-3748253</v>
      </c>
      <c r="N771">
        <v>15266069</v>
      </c>
      <c r="O771">
        <v>-3837998</v>
      </c>
      <c r="P771">
        <v>44450590</v>
      </c>
      <c r="Q771">
        <v>4910625</v>
      </c>
      <c r="R771">
        <v>11850515</v>
      </c>
      <c r="S771">
        <v>-887573</v>
      </c>
      <c r="T771">
        <v>0.20829</v>
      </c>
      <c r="U771">
        <f t="shared" si="84"/>
        <v>-0.24636024692184932</v>
      </c>
      <c r="V771">
        <f t="shared" si="85"/>
        <v>-1.5962042103987308</v>
      </c>
      <c r="W771">
        <f t="shared" si="86"/>
        <v>-8.8106738410485927E-2</v>
      </c>
      <c r="X771">
        <f t="shared" ref="X771:X834" si="87">IF(U771&gt;=0.862,0,1)</f>
        <v>1</v>
      </c>
      <c r="Y771">
        <f t="shared" ref="Y771:Y834" si="88">IF(V771&lt;=0,0,1)</f>
        <v>0</v>
      </c>
      <c r="Z771">
        <f t="shared" ref="Z771:Z834" si="89">IF(W771&gt;=0.01,0,1)</f>
        <v>1</v>
      </c>
      <c r="AA771">
        <f t="shared" ref="AA771:AA834" si="90">IF(SUM(X771:Z771)&gt;=2,1,0)</f>
        <v>1</v>
      </c>
    </row>
    <row r="772" spans="1:27" x14ac:dyDescent="0.35">
      <c r="A772" s="1">
        <v>-10.867881034738501</v>
      </c>
      <c r="B772" s="1">
        <v>-22.0443208691979</v>
      </c>
      <c r="C772" s="1">
        <v>-7.9590817996319993E-3</v>
      </c>
      <c r="D772" s="1">
        <v>89.908720000000002</v>
      </c>
      <c r="E772" s="1">
        <v>42.284280000000003</v>
      </c>
      <c r="F772" s="1">
        <v>-0.26482</v>
      </c>
      <c r="G772" s="1">
        <v>0.18798999999999999</v>
      </c>
      <c r="H772" s="1">
        <v>0.1656349553534</v>
      </c>
      <c r="I772" s="1">
        <v>-0.2702</v>
      </c>
      <c r="J772" s="1">
        <v>6278646</v>
      </c>
      <c r="K772" s="1">
        <v>-23642530</v>
      </c>
      <c r="L772">
        <v>87501606</v>
      </c>
      <c r="M772">
        <v>-10188187</v>
      </c>
      <c r="N772">
        <v>15541452</v>
      </c>
      <c r="O772">
        <v>-10197283</v>
      </c>
      <c r="P772">
        <v>36999428</v>
      </c>
      <c r="Q772">
        <v>5473518</v>
      </c>
      <c r="R772">
        <v>29116048</v>
      </c>
      <c r="S772">
        <v>-746797</v>
      </c>
      <c r="T772">
        <v>0.12188</v>
      </c>
      <c r="U772">
        <f t="shared" si="84"/>
        <v>-0.46440225816591924</v>
      </c>
      <c r="V772">
        <f t="shared" si="85"/>
        <v>-1.3646217543353465</v>
      </c>
      <c r="W772">
        <f t="shared" si="86"/>
        <v>-0.41973899855049518</v>
      </c>
      <c r="X772">
        <f t="shared" si="87"/>
        <v>1</v>
      </c>
      <c r="Y772">
        <f t="shared" si="88"/>
        <v>0</v>
      </c>
      <c r="Z772">
        <f t="shared" si="89"/>
        <v>1</v>
      </c>
      <c r="AA772">
        <f t="shared" si="90"/>
        <v>1</v>
      </c>
    </row>
    <row r="773" spans="1:27" x14ac:dyDescent="0.35">
      <c r="A773">
        <v>-1.09628871630433</v>
      </c>
      <c r="B773" s="1">
        <v>-2.2841810591559302</v>
      </c>
      <c r="C773">
        <v>1.2551834326660001E-2</v>
      </c>
      <c r="D773">
        <v>80.388379999999998</v>
      </c>
      <c r="E773">
        <v>39.409770000000002</v>
      </c>
      <c r="F773">
        <v>0.56691999999999998</v>
      </c>
      <c r="G773">
        <v>1.4903</v>
      </c>
      <c r="H773">
        <v>0.17957284372604801</v>
      </c>
      <c r="I773">
        <v>3.3730000000000003E-2</v>
      </c>
      <c r="J773">
        <v>6142724</v>
      </c>
      <c r="K773" s="1">
        <v>2766494</v>
      </c>
      <c r="L773">
        <v>82020708</v>
      </c>
      <c r="M773">
        <v>-515408</v>
      </c>
      <c r="N773">
        <v>15220802</v>
      </c>
      <c r="O773">
        <v>-929227</v>
      </c>
      <c r="P773">
        <v>32324175</v>
      </c>
      <c r="Q773">
        <v>8408945</v>
      </c>
      <c r="R773">
        <v>5642451</v>
      </c>
      <c r="S773">
        <v>1063908</v>
      </c>
      <c r="T773">
        <v>0.11869</v>
      </c>
      <c r="U773">
        <f t="shared" si="84"/>
        <v>8.8504277767250603E-2</v>
      </c>
      <c r="V773">
        <f t="shared" si="85"/>
        <v>-1.99670043740049</v>
      </c>
      <c r="W773">
        <f t="shared" si="86"/>
        <v>0.1566259420242995</v>
      </c>
      <c r="X773">
        <f t="shared" si="87"/>
        <v>1</v>
      </c>
      <c r="Y773">
        <f t="shared" si="88"/>
        <v>0</v>
      </c>
      <c r="Z773">
        <f t="shared" si="89"/>
        <v>0</v>
      </c>
      <c r="AA773">
        <f t="shared" si="90"/>
        <v>0</v>
      </c>
    </row>
    <row r="774" spans="1:27" x14ac:dyDescent="0.35">
      <c r="A774">
        <v>-5.8008907186340704</v>
      </c>
      <c r="B774" s="1">
        <v>-11.652361026658699</v>
      </c>
      <c r="C774">
        <v>-6.3704883404360002E-3</v>
      </c>
      <c r="D774">
        <v>81.106579999999994</v>
      </c>
      <c r="E774">
        <v>41.092109999999998</v>
      </c>
      <c r="F774">
        <v>-0.32926</v>
      </c>
      <c r="G774">
        <v>1.99031</v>
      </c>
      <c r="H774">
        <v>0.14905819184793301</v>
      </c>
      <c r="I774">
        <v>6.3820000000000002E-2</v>
      </c>
      <c r="J774">
        <v>4209806</v>
      </c>
      <c r="K774" s="1">
        <v>4508231</v>
      </c>
      <c r="L774">
        <v>70640744</v>
      </c>
      <c r="M774">
        <v>-4389693</v>
      </c>
      <c r="N774">
        <v>11377720</v>
      </c>
      <c r="O774">
        <v>-4427862</v>
      </c>
      <c r="P774">
        <v>29027774</v>
      </c>
      <c r="Q774">
        <v>9060596</v>
      </c>
      <c r="R774">
        <v>4552365</v>
      </c>
      <c r="S774">
        <v>-486264</v>
      </c>
      <c r="T774">
        <v>7.5130000000000002E-2</v>
      </c>
      <c r="U774">
        <f t="shared" si="84"/>
        <v>-0.527389063803406</v>
      </c>
      <c r="V774">
        <f t="shared" si="85"/>
        <v>-1.6677219852454068</v>
      </c>
      <c r="W774">
        <f t="shared" si="86"/>
        <v>0.13786682527013025</v>
      </c>
      <c r="X774">
        <f t="shared" si="87"/>
        <v>1</v>
      </c>
      <c r="Y774">
        <f t="shared" si="88"/>
        <v>0</v>
      </c>
      <c r="Z774">
        <f t="shared" si="89"/>
        <v>0</v>
      </c>
      <c r="AA774">
        <f t="shared" si="90"/>
        <v>0</v>
      </c>
    </row>
    <row r="775" spans="1:27" x14ac:dyDescent="0.35">
      <c r="A775">
        <v>-7.2828552626826797</v>
      </c>
      <c r="B775" s="1">
        <v>-14.607213497939901</v>
      </c>
      <c r="C775">
        <v>-5.1556249282570001E-3</v>
      </c>
      <c r="D775">
        <v>88.175070000000005</v>
      </c>
      <c r="E775">
        <v>43.167630000000003</v>
      </c>
      <c r="F775">
        <v>-0.25888</v>
      </c>
      <c r="G775">
        <v>1.5745400000000001</v>
      </c>
      <c r="H775">
        <v>0.16788275682067599</v>
      </c>
      <c r="I775">
        <v>5.6030000000000003E-2</v>
      </c>
      <c r="J775">
        <v>1760728</v>
      </c>
      <c r="K775" s="1">
        <v>3540021</v>
      </c>
      <c r="L775">
        <v>63178145</v>
      </c>
      <c r="M775">
        <v>-4853963</v>
      </c>
      <c r="N775">
        <v>11232942</v>
      </c>
      <c r="O775">
        <v>-4872918</v>
      </c>
      <c r="P775">
        <v>27272506</v>
      </c>
      <c r="Q775">
        <v>9701560</v>
      </c>
      <c r="R775">
        <v>6161539</v>
      </c>
      <c r="S775">
        <v>-344960</v>
      </c>
      <c r="T775">
        <v>6.8799999999999998E-3</v>
      </c>
      <c r="U775">
        <f t="shared" si="84"/>
        <v>-0.40786761938480121</v>
      </c>
      <c r="V775">
        <f t="shared" si="85"/>
        <v>-1.4860629961360272</v>
      </c>
      <c r="W775">
        <f t="shared" si="86"/>
        <v>0.12963309364337938</v>
      </c>
      <c r="X775">
        <f t="shared" si="87"/>
        <v>1</v>
      </c>
      <c r="Y775">
        <f t="shared" si="88"/>
        <v>0</v>
      </c>
      <c r="Z775">
        <f t="shared" si="89"/>
        <v>0</v>
      </c>
      <c r="AA775">
        <f t="shared" si="90"/>
        <v>0</v>
      </c>
    </row>
    <row r="776" spans="1:27" x14ac:dyDescent="0.35">
      <c r="A776">
        <v>-8.3739121293910692</v>
      </c>
      <c r="B776" s="1">
        <v>-17.578605512791601</v>
      </c>
      <c r="C776">
        <v>-1.3815195809023999E-2</v>
      </c>
      <c r="D776">
        <v>87.395120000000006</v>
      </c>
      <c r="E776">
        <v>40.336170000000003</v>
      </c>
      <c r="F776">
        <v>-0.75921000000000005</v>
      </c>
      <c r="G776">
        <v>1.2116899999999999</v>
      </c>
      <c r="H776">
        <v>0.18798711047025901</v>
      </c>
      <c r="I776">
        <v>3.7229999999999999E-2</v>
      </c>
      <c r="J776">
        <v>6151138</v>
      </c>
      <c r="K776" s="1">
        <v>2092037</v>
      </c>
      <c r="L776">
        <v>56199678</v>
      </c>
      <c r="M776">
        <v>-5372571</v>
      </c>
      <c r="N776">
        <v>11220746</v>
      </c>
      <c r="O776">
        <v>-4998297</v>
      </c>
      <c r="P776">
        <v>22668799</v>
      </c>
      <c r="Q776">
        <v>11974597</v>
      </c>
      <c r="R776">
        <v>9882560</v>
      </c>
      <c r="S776">
        <v>-824614</v>
      </c>
      <c r="T776">
        <v>-8.1250000000000003E-2</v>
      </c>
      <c r="U776">
        <f t="shared" si="84"/>
        <v>-0.2856441308080972</v>
      </c>
      <c r="V776">
        <f t="shared" si="85"/>
        <v>-1.5957696109402253</v>
      </c>
      <c r="W776">
        <f t="shared" si="86"/>
        <v>6.7051698908310461E-2</v>
      </c>
      <c r="X776">
        <f t="shared" si="87"/>
        <v>1</v>
      </c>
      <c r="Y776">
        <f t="shared" si="88"/>
        <v>0</v>
      </c>
      <c r="Z776">
        <f t="shared" si="89"/>
        <v>0</v>
      </c>
      <c r="AA776">
        <f t="shared" si="90"/>
        <v>0</v>
      </c>
    </row>
    <row r="777" spans="1:27" x14ac:dyDescent="0.35">
      <c r="A777">
        <v>-16.3015930448258</v>
      </c>
      <c r="B777" s="1">
        <v>-33.255783046436399</v>
      </c>
      <c r="C777">
        <v>-6.8094860716148994E-2</v>
      </c>
      <c r="D777">
        <v>77.982740000000007</v>
      </c>
      <c r="E777">
        <v>41.859459999999999</v>
      </c>
      <c r="F777">
        <v>-4.4613100000000001</v>
      </c>
      <c r="G777">
        <v>5.0142800000000003</v>
      </c>
      <c r="H777">
        <v>0.111983527768713</v>
      </c>
      <c r="I777">
        <v>0.27988000000000002</v>
      </c>
      <c r="J777">
        <v>-1115589</v>
      </c>
      <c r="K777" s="1">
        <v>9674260</v>
      </c>
      <c r="L777">
        <v>34565439</v>
      </c>
      <c r="M777">
        <v>-6920670</v>
      </c>
      <c r="N777">
        <v>5082099</v>
      </c>
      <c r="O777">
        <v>-7398080</v>
      </c>
      <c r="P777">
        <v>14468906</v>
      </c>
      <c r="Q777">
        <v>12084221</v>
      </c>
      <c r="R777">
        <v>2409961</v>
      </c>
      <c r="S777">
        <v>-3090319</v>
      </c>
      <c r="T777">
        <v>-0.34612999999999999</v>
      </c>
      <c r="U777">
        <f t="shared" si="84"/>
        <v>-1.8227006137034081</v>
      </c>
      <c r="V777">
        <f t="shared" si="85"/>
        <v>-0.93081358640716638</v>
      </c>
      <c r="W777">
        <f t="shared" si="86"/>
        <v>0.21104733739964937</v>
      </c>
      <c r="X777">
        <f t="shared" si="87"/>
        <v>1</v>
      </c>
      <c r="Y777">
        <f t="shared" si="88"/>
        <v>0</v>
      </c>
      <c r="Z777">
        <f t="shared" si="89"/>
        <v>0</v>
      </c>
      <c r="AA777">
        <f t="shared" si="90"/>
        <v>0</v>
      </c>
    </row>
    <row r="778" spans="1:27" x14ac:dyDescent="0.35">
      <c r="A778" s="1" t="s">
        <v>3</v>
      </c>
      <c r="B778" s="1" t="s">
        <v>3</v>
      </c>
      <c r="C778" s="1" t="s">
        <v>3</v>
      </c>
      <c r="D778" s="1" t="s">
        <v>3</v>
      </c>
      <c r="E778" s="1" t="s">
        <v>3</v>
      </c>
      <c r="F778" s="1" t="s">
        <v>3</v>
      </c>
      <c r="G778" s="1" t="s">
        <v>3</v>
      </c>
      <c r="H778" s="1" t="s">
        <v>3</v>
      </c>
      <c r="I778" s="1" t="s">
        <v>3</v>
      </c>
      <c r="J778" s="1" t="s">
        <v>3</v>
      </c>
      <c r="K778" s="1" t="s">
        <v>3</v>
      </c>
      <c r="L778" s="1" t="s">
        <v>3</v>
      </c>
      <c r="M778" s="1" t="s">
        <v>3</v>
      </c>
      <c r="N778" s="1" t="s">
        <v>3</v>
      </c>
      <c r="O778" s="1" t="s">
        <v>3</v>
      </c>
      <c r="P778" s="1" t="s">
        <v>3</v>
      </c>
      <c r="Q778" s="1" t="s">
        <v>3</v>
      </c>
      <c r="R778" s="1" t="s">
        <v>3</v>
      </c>
      <c r="S778" s="1" t="s">
        <v>3</v>
      </c>
      <c r="T778" s="1" t="s">
        <v>3</v>
      </c>
      <c r="U778" t="e">
        <f t="shared" si="84"/>
        <v>#VALUE!</v>
      </c>
      <c r="V778" t="e">
        <f t="shared" si="85"/>
        <v>#VALUE!</v>
      </c>
      <c r="W778" t="e">
        <f t="shared" si="86"/>
        <v>#VALUE!</v>
      </c>
      <c r="X778" t="e">
        <f t="shared" si="87"/>
        <v>#VALUE!</v>
      </c>
      <c r="Y778" t="e">
        <f t="shared" si="88"/>
        <v>#VALUE!</v>
      </c>
      <c r="Z778" t="e">
        <f t="shared" si="89"/>
        <v>#VALUE!</v>
      </c>
      <c r="AA778" t="e">
        <f t="shared" si="90"/>
        <v>#VALUE!</v>
      </c>
    </row>
    <row r="779" spans="1:27" x14ac:dyDescent="0.35">
      <c r="A779" s="1" t="s">
        <v>3</v>
      </c>
      <c r="B779" s="1" t="s">
        <v>3</v>
      </c>
      <c r="C779" s="1" t="s">
        <v>3</v>
      </c>
      <c r="D779" s="1" t="s">
        <v>3</v>
      </c>
      <c r="E779" s="1" t="s">
        <v>3</v>
      </c>
      <c r="F779" s="1" t="s">
        <v>3</v>
      </c>
      <c r="G779" s="1" t="s">
        <v>3</v>
      </c>
      <c r="H779" s="1" t="s">
        <v>3</v>
      </c>
      <c r="I779" s="1" t="s">
        <v>3</v>
      </c>
      <c r="J779" s="1" t="s">
        <v>3</v>
      </c>
      <c r="K779" s="1" t="s">
        <v>3</v>
      </c>
      <c r="L779" s="1" t="s">
        <v>3</v>
      </c>
      <c r="M779" s="1" t="s">
        <v>3</v>
      </c>
      <c r="N779" s="1" t="s">
        <v>3</v>
      </c>
      <c r="O779" s="1" t="s">
        <v>3</v>
      </c>
      <c r="P779" s="1" t="s">
        <v>3</v>
      </c>
      <c r="Q779" s="1" t="s">
        <v>3</v>
      </c>
      <c r="R779" s="1" t="s">
        <v>3</v>
      </c>
      <c r="S779" s="1" t="s">
        <v>3</v>
      </c>
      <c r="T779" s="1" t="s">
        <v>3</v>
      </c>
      <c r="U779" t="e">
        <f t="shared" si="84"/>
        <v>#VALUE!</v>
      </c>
      <c r="V779" t="e">
        <f t="shared" si="85"/>
        <v>#VALUE!</v>
      </c>
      <c r="W779" t="e">
        <f t="shared" si="86"/>
        <v>#VALUE!</v>
      </c>
      <c r="X779" t="e">
        <f t="shared" si="87"/>
        <v>#VALUE!</v>
      </c>
      <c r="Y779" t="e">
        <f t="shared" si="88"/>
        <v>#VALUE!</v>
      </c>
      <c r="Z779" t="e">
        <f t="shared" si="89"/>
        <v>#VALUE!</v>
      </c>
      <c r="AA779" t="e">
        <f t="shared" si="90"/>
        <v>#VALUE!</v>
      </c>
    </row>
    <row r="780" spans="1:27" x14ac:dyDescent="0.35">
      <c r="A780" s="1" t="s">
        <v>3</v>
      </c>
      <c r="B780" s="1" t="s">
        <v>3</v>
      </c>
      <c r="C780" s="1" t="s">
        <v>3</v>
      </c>
      <c r="D780" s="1">
        <v>61.230119999999999</v>
      </c>
      <c r="E780" s="1">
        <v>31.27684</v>
      </c>
      <c r="F780" s="1">
        <v>19.652049999999999</v>
      </c>
      <c r="G780" s="1">
        <v>3.1558799999999998</v>
      </c>
      <c r="H780" s="1" t="s">
        <v>3</v>
      </c>
      <c r="I780" s="1">
        <v>0.32350000000000001</v>
      </c>
      <c r="J780" s="1">
        <v>-1236990.9332300001</v>
      </c>
      <c r="K780" s="1">
        <v>76513354.106389999</v>
      </c>
      <c r="L780">
        <v>236518139.32784</v>
      </c>
      <c r="M780">
        <v>14303956.503310001</v>
      </c>
      <c r="N780">
        <v>396035165.67866999</v>
      </c>
      <c r="O780">
        <v>19345712.734390002</v>
      </c>
      <c r="P780">
        <v>73975406.187399998</v>
      </c>
      <c r="Q780">
        <v>112003894.94769999</v>
      </c>
      <c r="R780">
        <v>35490540.841310002</v>
      </c>
      <c r="S780">
        <v>2201557.7885699999</v>
      </c>
      <c r="T780">
        <v>0</v>
      </c>
      <c r="U780">
        <f t="shared" si="84"/>
        <v>1.2975591578773096</v>
      </c>
      <c r="V780">
        <f t="shared" si="85"/>
        <v>-2.8726684618381242</v>
      </c>
      <c r="W780">
        <f t="shared" si="86"/>
        <v>0.62376696667978238</v>
      </c>
      <c r="X780">
        <f t="shared" si="87"/>
        <v>0</v>
      </c>
      <c r="Y780">
        <f t="shared" si="88"/>
        <v>0</v>
      </c>
      <c r="Z780">
        <f t="shared" si="89"/>
        <v>0</v>
      </c>
      <c r="AA780">
        <f t="shared" si="90"/>
        <v>0</v>
      </c>
    </row>
    <row r="781" spans="1:27" x14ac:dyDescent="0.35">
      <c r="A781" s="1">
        <v>12.5683340697465</v>
      </c>
      <c r="B781" s="1">
        <v>36.9073002874078</v>
      </c>
      <c r="C781" s="1">
        <v>0.14632206619872301</v>
      </c>
      <c r="D781" s="1">
        <v>32.966659999999997</v>
      </c>
      <c r="E781" s="1">
        <v>19.844799999999999</v>
      </c>
      <c r="F781" s="1">
        <v>32.01182</v>
      </c>
      <c r="G781" s="1">
        <v>3.7759499999999999</v>
      </c>
      <c r="H781" s="1">
        <v>1.83235143536704</v>
      </c>
      <c r="I781" s="1">
        <v>0.43321999999999999</v>
      </c>
      <c r="J781" s="1">
        <v>66714146.41742</v>
      </c>
      <c r="K781" s="1">
        <v>120438764.64324</v>
      </c>
      <c r="L781">
        <v>278006602.76889998</v>
      </c>
      <c r="M781">
        <v>41092962.913029999</v>
      </c>
      <c r="N781">
        <v>471395074.85641003</v>
      </c>
      <c r="O781">
        <v>32333594.229109999</v>
      </c>
      <c r="P781">
        <v>55169861.554849997</v>
      </c>
      <c r="Q781">
        <v>163825346.11289001</v>
      </c>
      <c r="R781">
        <v>43386581.46965</v>
      </c>
      <c r="S781">
        <v>37643161.686980002</v>
      </c>
      <c r="T781">
        <v>0.18609000000000001</v>
      </c>
      <c r="U781">
        <f t="shared" si="84"/>
        <v>2.1652686319143291</v>
      </c>
      <c r="V781">
        <f t="shared" si="85"/>
        <v>-3.6771155587931323</v>
      </c>
      <c r="W781">
        <f t="shared" si="86"/>
        <v>1.2345929718605766</v>
      </c>
      <c r="X781">
        <f t="shared" si="87"/>
        <v>0</v>
      </c>
      <c r="Y781">
        <f t="shared" si="88"/>
        <v>0</v>
      </c>
      <c r="Z781">
        <f t="shared" si="89"/>
        <v>0</v>
      </c>
      <c r="AA781">
        <f t="shared" si="90"/>
        <v>0</v>
      </c>
    </row>
    <row r="782" spans="1:27" x14ac:dyDescent="0.35">
      <c r="A782" s="1">
        <v>-0.57441098474893204</v>
      </c>
      <c r="B782" s="1">
        <v>-0.95939341060719596</v>
      </c>
      <c r="C782" s="1">
        <v>2.8705933181806999E-2</v>
      </c>
      <c r="D782" s="1">
        <v>38.387419999999999</v>
      </c>
      <c r="E782" s="1">
        <v>22.825320000000001</v>
      </c>
      <c r="F782" s="1">
        <v>1.6224099999999999</v>
      </c>
      <c r="G782" s="1">
        <v>4.52834</v>
      </c>
      <c r="H782" s="1">
        <v>2.0830201082792099</v>
      </c>
      <c r="I782" s="1">
        <v>0.44402999999999998</v>
      </c>
      <c r="J782" s="1">
        <v>-7417482.2711699996</v>
      </c>
      <c r="K782" s="1">
        <v>97181105.990779996</v>
      </c>
      <c r="L782">
        <v>218863225.80645001</v>
      </c>
      <c r="M782">
        <v>-1553297.3112300001</v>
      </c>
      <c r="N782">
        <v>517494922.05984998</v>
      </c>
      <c r="O782">
        <v>-1427037.43762</v>
      </c>
      <c r="P782">
        <v>49956221.19816</v>
      </c>
      <c r="Q782">
        <v>124724147.46544001</v>
      </c>
      <c r="R782">
        <v>27543041.474649999</v>
      </c>
      <c r="S782">
        <v>7131556.0495699998</v>
      </c>
      <c r="T782">
        <v>0.13743</v>
      </c>
      <c r="U782">
        <f t="shared" si="84"/>
        <v>1.4659479780058784</v>
      </c>
      <c r="V782">
        <f t="shared" si="85"/>
        <v>-2.951502676396959</v>
      </c>
      <c r="W782">
        <f t="shared" si="86"/>
        <v>0.90045740769521754</v>
      </c>
      <c r="X782">
        <f t="shared" si="87"/>
        <v>0</v>
      </c>
      <c r="Y782">
        <f t="shared" si="88"/>
        <v>0</v>
      </c>
      <c r="Z782">
        <f t="shared" si="89"/>
        <v>0</v>
      </c>
      <c r="AA782">
        <f t="shared" si="90"/>
        <v>0</v>
      </c>
    </row>
    <row r="783" spans="1:27" x14ac:dyDescent="0.35">
      <c r="A783" s="1">
        <v>18.2480485081309</v>
      </c>
      <c r="B783" s="1">
        <v>29.141144693917401</v>
      </c>
      <c r="C783" s="1">
        <v>0.30007603032514801</v>
      </c>
      <c r="D783" s="1">
        <v>17.94875</v>
      </c>
      <c r="E783" s="1">
        <v>11.66484</v>
      </c>
      <c r="F783" s="1">
        <v>13.907590000000001</v>
      </c>
      <c r="G783" s="1">
        <v>3.1480600000000001</v>
      </c>
      <c r="H783" s="1">
        <v>1.7911130529321</v>
      </c>
      <c r="I783" s="1">
        <v>0.43397000000000002</v>
      </c>
      <c r="J783" s="1">
        <v>63508626.246119998</v>
      </c>
      <c r="K783" s="1">
        <v>126592569.00212</v>
      </c>
      <c r="L783">
        <v>291710721.86837</v>
      </c>
      <c r="M783">
        <v>61217603.998099998</v>
      </c>
      <c r="N783">
        <v>457247831.08372003</v>
      </c>
      <c r="O783">
        <v>46584890.82079</v>
      </c>
      <c r="P783">
        <v>34027600.849260002</v>
      </c>
      <c r="Q783">
        <v>185526008.49257001</v>
      </c>
      <c r="R783">
        <v>58933439.490450002</v>
      </c>
      <c r="S783">
        <v>76605501.702849999</v>
      </c>
      <c r="T783">
        <v>0.25473000000000001</v>
      </c>
      <c r="U783">
        <f t="shared" si="84"/>
        <v>2.5657595135267344</v>
      </c>
      <c r="V783">
        <f t="shared" si="85"/>
        <v>-4.3411414165964066</v>
      </c>
      <c r="W783">
        <f t="shared" si="86"/>
        <v>1.6695160634835613</v>
      </c>
      <c r="X783">
        <f t="shared" si="87"/>
        <v>0</v>
      </c>
      <c r="Y783">
        <f t="shared" si="88"/>
        <v>0</v>
      </c>
      <c r="Z783">
        <f t="shared" si="89"/>
        <v>0</v>
      </c>
      <c r="AA783">
        <f t="shared" si="90"/>
        <v>0</v>
      </c>
    </row>
    <row r="784" spans="1:27" x14ac:dyDescent="0.35">
      <c r="A784" s="1">
        <v>-5.7520838956052804</v>
      </c>
      <c r="B784" s="1">
        <v>-10.3921379070722</v>
      </c>
      <c r="C784" s="1">
        <v>-1.8372949120743101</v>
      </c>
      <c r="D784" s="1">
        <v>27.74689</v>
      </c>
      <c r="E784" s="1">
        <v>14.833130000000001</v>
      </c>
      <c r="F784" s="1">
        <v>-34.588509999999999</v>
      </c>
      <c r="G784" s="1">
        <v>2.1395400000000002</v>
      </c>
      <c r="H784" s="1">
        <v>2.0899358125018299</v>
      </c>
      <c r="I784" s="1">
        <v>0.224</v>
      </c>
      <c r="J784" s="1">
        <v>165926000</v>
      </c>
      <c r="K784" s="1">
        <v>332977000</v>
      </c>
      <c r="L784">
        <v>1486497000</v>
      </c>
      <c r="M784">
        <v>43511000</v>
      </c>
      <c r="N784">
        <v>1858170000</v>
      </c>
      <c r="O784">
        <v>-51142000</v>
      </c>
      <c r="P784">
        <v>220494000</v>
      </c>
      <c r="Q784">
        <v>625180000</v>
      </c>
      <c r="R784">
        <v>292203000</v>
      </c>
      <c r="S784">
        <v>-1633546000</v>
      </c>
      <c r="T784">
        <v>3.1E-4</v>
      </c>
      <c r="U784">
        <f t="shared" si="84"/>
        <v>-2.5446814076020177</v>
      </c>
      <c r="V784">
        <f t="shared" si="85"/>
        <v>-3.2911338677233721</v>
      </c>
      <c r="W784">
        <f t="shared" si="86"/>
        <v>-3.3146830952231991</v>
      </c>
      <c r="X784">
        <f t="shared" si="87"/>
        <v>1</v>
      </c>
      <c r="Y784">
        <f t="shared" si="88"/>
        <v>0</v>
      </c>
      <c r="Z784">
        <f t="shared" si="89"/>
        <v>1</v>
      </c>
      <c r="AA784">
        <f t="shared" si="90"/>
        <v>1</v>
      </c>
    </row>
    <row r="785" spans="1:27" x14ac:dyDescent="0.35">
      <c r="A785" s="1">
        <v>0.518014542836154</v>
      </c>
      <c r="B785" s="1">
        <v>1.00569542387858</v>
      </c>
      <c r="C785" s="1">
        <v>3.1960080467901997E-2</v>
      </c>
      <c r="D785" s="1">
        <v>36.654299999999999</v>
      </c>
      <c r="E785" s="1">
        <v>18.21771</v>
      </c>
      <c r="F785" s="1">
        <v>1.01464</v>
      </c>
      <c r="G785" s="1">
        <v>1.7599199999999999</v>
      </c>
      <c r="H785" s="1">
        <v>1.4216668785434801</v>
      </c>
      <c r="I785" s="1">
        <v>0.17535999999999999</v>
      </c>
      <c r="J785" s="1">
        <v>-3324000</v>
      </c>
      <c r="K785" s="1">
        <v>281445000</v>
      </c>
      <c r="L785">
        <v>1604922000</v>
      </c>
      <c r="M785">
        <v>-2131000</v>
      </c>
      <c r="N785">
        <v>2197484000</v>
      </c>
      <c r="O785">
        <v>8007000</v>
      </c>
      <c r="P785">
        <v>292380000</v>
      </c>
      <c r="Q785">
        <v>651807000</v>
      </c>
      <c r="R785">
        <v>370362000</v>
      </c>
      <c r="S785">
        <v>49401000</v>
      </c>
      <c r="T785">
        <v>0.28452</v>
      </c>
      <c r="U785">
        <f t="shared" si="84"/>
        <v>0.81901069587770836</v>
      </c>
      <c r="V785">
        <f t="shared" si="85"/>
        <v>-3.27700160581418</v>
      </c>
      <c r="W785">
        <f t="shared" si="86"/>
        <v>0.45120817086437848</v>
      </c>
      <c r="X785">
        <f t="shared" si="87"/>
        <v>1</v>
      </c>
      <c r="Y785">
        <f t="shared" si="88"/>
        <v>0</v>
      </c>
      <c r="Z785">
        <f t="shared" si="89"/>
        <v>0</v>
      </c>
      <c r="AA785">
        <f t="shared" si="90"/>
        <v>0</v>
      </c>
    </row>
    <row r="786" spans="1:27" x14ac:dyDescent="0.35">
      <c r="A786" s="1">
        <v>-5.29842161555292</v>
      </c>
      <c r="B786" s="1">
        <v>-11.591179185722</v>
      </c>
      <c r="C786" s="1">
        <v>-2.4226945201405999E-2</v>
      </c>
      <c r="D786" s="1">
        <v>49.463120000000004</v>
      </c>
      <c r="E786" s="1">
        <v>21.133410000000001</v>
      </c>
      <c r="F786" s="1">
        <v>-0.86812</v>
      </c>
      <c r="G786" s="1">
        <v>1.4347300000000001</v>
      </c>
      <c r="H786" s="1">
        <v>1.38829423849124</v>
      </c>
      <c r="I786" s="1">
        <v>0.12479999999999999</v>
      </c>
      <c r="J786" s="1">
        <v>147173000</v>
      </c>
      <c r="K786" s="1">
        <v>210544000</v>
      </c>
      <c r="L786">
        <v>1687115000</v>
      </c>
      <c r="M786">
        <v>-110638000</v>
      </c>
      <c r="N786">
        <v>2285158000</v>
      </c>
      <c r="O786">
        <v>-87213000</v>
      </c>
      <c r="P786">
        <v>356545000</v>
      </c>
      <c r="Q786">
        <v>694849000</v>
      </c>
      <c r="R786">
        <v>484305000</v>
      </c>
      <c r="S786">
        <v>-39878000</v>
      </c>
      <c r="T786">
        <v>0.21886</v>
      </c>
      <c r="U786">
        <f t="shared" si="84"/>
        <v>0.4469898721087891</v>
      </c>
      <c r="V786">
        <f t="shared" si="85"/>
        <v>-2.8570353846053176</v>
      </c>
      <c r="W786">
        <f t="shared" si="86"/>
        <v>0.18162545825269769</v>
      </c>
      <c r="X786">
        <f t="shared" si="87"/>
        <v>1</v>
      </c>
      <c r="Y786">
        <f t="shared" si="88"/>
        <v>0</v>
      </c>
      <c r="Z786">
        <f t="shared" si="89"/>
        <v>0</v>
      </c>
      <c r="AA786">
        <f t="shared" si="90"/>
        <v>0</v>
      </c>
    </row>
    <row r="787" spans="1:27" x14ac:dyDescent="0.35">
      <c r="A787" s="1">
        <v>0.613706349579489</v>
      </c>
      <c r="B787" s="1">
        <v>1.2441731587824301</v>
      </c>
      <c r="C787" s="1">
        <v>1.7424697869247999E-2</v>
      </c>
      <c r="D787" s="1">
        <v>41.77919</v>
      </c>
      <c r="E787" s="1">
        <v>18.734400000000001</v>
      </c>
      <c r="F787" s="1">
        <v>1.3767499999999999</v>
      </c>
      <c r="G787" s="1">
        <v>1.3140400000000001</v>
      </c>
      <c r="H787" s="1">
        <v>1.39456227241607</v>
      </c>
      <c r="I787" s="1">
        <v>0.1017</v>
      </c>
      <c r="J787" s="1">
        <v>155104000</v>
      </c>
      <c r="K787" s="1">
        <v>193984000</v>
      </c>
      <c r="L787">
        <v>1907438000</v>
      </c>
      <c r="M787">
        <v>17079000</v>
      </c>
      <c r="N787">
        <v>2506414000</v>
      </c>
      <c r="O787">
        <v>11030000</v>
      </c>
      <c r="P787">
        <v>357347000</v>
      </c>
      <c r="Q787">
        <v>811683000</v>
      </c>
      <c r="R787">
        <v>617699000</v>
      </c>
      <c r="S787">
        <v>31317000</v>
      </c>
      <c r="T787">
        <v>0.19866</v>
      </c>
      <c r="U787">
        <f t="shared" si="84"/>
        <v>0.69901112224836126</v>
      </c>
      <c r="V787">
        <f t="shared" si="85"/>
        <v>-3.2529050372142669</v>
      </c>
      <c r="W787">
        <f t="shared" si="86"/>
        <v>0.28078349807438036</v>
      </c>
      <c r="X787">
        <f t="shared" si="87"/>
        <v>1</v>
      </c>
      <c r="Y787">
        <f t="shared" si="88"/>
        <v>0</v>
      </c>
      <c r="Z787">
        <f t="shared" si="89"/>
        <v>0</v>
      </c>
      <c r="AA787">
        <f t="shared" si="90"/>
        <v>0</v>
      </c>
    </row>
    <row r="788" spans="1:27" x14ac:dyDescent="0.35">
      <c r="A788" s="1">
        <v>0.952557956933897</v>
      </c>
      <c r="B788" s="1">
        <v>2.1140344199609999</v>
      </c>
      <c r="C788" s="1">
        <v>2.6144442576615998E-2</v>
      </c>
      <c r="D788" s="1">
        <v>56.426699999999997</v>
      </c>
      <c r="E788" s="1">
        <v>25.49963</v>
      </c>
      <c r="F788" s="1">
        <v>1.5678099999999999</v>
      </c>
      <c r="G788" s="1">
        <v>1.3944700000000001</v>
      </c>
      <c r="H788" s="1">
        <v>1.284304041715</v>
      </c>
      <c r="I788" s="1">
        <v>9.801E-2</v>
      </c>
      <c r="J788" s="1">
        <v>118891000</v>
      </c>
      <c r="K788" s="1">
        <v>188522000</v>
      </c>
      <c r="L788">
        <v>1923510000</v>
      </c>
      <c r="M788">
        <v>24912000</v>
      </c>
      <c r="N788">
        <v>2460051000</v>
      </c>
      <c r="O788">
        <v>18246000</v>
      </c>
      <c r="P788">
        <v>490488000</v>
      </c>
      <c r="Q788">
        <v>666434000</v>
      </c>
      <c r="R788">
        <v>477912000</v>
      </c>
      <c r="S788">
        <v>50079000</v>
      </c>
      <c r="T788">
        <v>0.20502999999999999</v>
      </c>
      <c r="U788">
        <f t="shared" si="84"/>
        <v>0.7268568222501175</v>
      </c>
      <c r="V788">
        <f t="shared" si="85"/>
        <v>-2.8836290381553207</v>
      </c>
      <c r="W788">
        <f t="shared" si="86"/>
        <v>0.30749110844237876</v>
      </c>
      <c r="X788">
        <f t="shared" si="87"/>
        <v>1</v>
      </c>
      <c r="Y788">
        <f t="shared" si="88"/>
        <v>0</v>
      </c>
      <c r="Z788">
        <f t="shared" si="89"/>
        <v>0</v>
      </c>
      <c r="AA788">
        <f t="shared" si="90"/>
        <v>0</v>
      </c>
    </row>
    <row r="789" spans="1:27" x14ac:dyDescent="0.35">
      <c r="A789" s="1">
        <v>1.3870428559051799</v>
      </c>
      <c r="B789" s="1">
        <v>3.0243248177906601</v>
      </c>
      <c r="C789" s="1">
        <v>4.1851123221556999E-2</v>
      </c>
      <c r="D789" s="1">
        <v>61.76146</v>
      </c>
      <c r="E789" s="1">
        <v>29.410070000000001</v>
      </c>
      <c r="F789" s="1">
        <v>3.5152000000000001</v>
      </c>
      <c r="G789" s="1">
        <v>1.10293</v>
      </c>
      <c r="H789" s="1">
        <v>0.72773948359912699</v>
      </c>
      <c r="I789" s="1">
        <v>2.0879999999999999E-2</v>
      </c>
      <c r="J789" s="1">
        <v>105524000</v>
      </c>
      <c r="K789" s="1">
        <v>38881000</v>
      </c>
      <c r="L789">
        <v>1862386000</v>
      </c>
      <c r="M789">
        <v>55899000</v>
      </c>
      <c r="N789">
        <v>1377573000</v>
      </c>
      <c r="O789">
        <v>26256000</v>
      </c>
      <c r="P789">
        <v>547729000</v>
      </c>
      <c r="Q789">
        <v>416634000</v>
      </c>
      <c r="R789">
        <v>377753000</v>
      </c>
      <c r="S789">
        <v>79222000</v>
      </c>
      <c r="T789">
        <v>0.2215</v>
      </c>
      <c r="U789">
        <f t="shared" si="84"/>
        <v>0.54563262312586003</v>
      </c>
      <c r="V789">
        <f t="shared" si="85"/>
        <v>-2.682655580771157</v>
      </c>
      <c r="W789">
        <f t="shared" si="86"/>
        <v>0.23647162081330078</v>
      </c>
      <c r="X789">
        <f t="shared" si="87"/>
        <v>1</v>
      </c>
      <c r="Y789">
        <f t="shared" si="88"/>
        <v>0</v>
      </c>
      <c r="Z789">
        <f t="shared" si="89"/>
        <v>0</v>
      </c>
      <c r="AA789">
        <f t="shared" si="90"/>
        <v>0</v>
      </c>
    </row>
    <row r="790" spans="1:27" x14ac:dyDescent="0.35">
      <c r="A790" s="1">
        <v>15.037622239396899</v>
      </c>
      <c r="B790" s="1">
        <v>29.776755717576599</v>
      </c>
      <c r="C790" s="1">
        <v>0.21233799013191301</v>
      </c>
      <c r="D790" s="1">
        <v>37.224739999999997</v>
      </c>
      <c r="E790" s="1">
        <v>19.959099999999999</v>
      </c>
      <c r="F790" s="1">
        <v>15.963760000000001</v>
      </c>
      <c r="G790" s="1">
        <v>1.52565</v>
      </c>
      <c r="H790" s="1">
        <v>0.96718579135721905</v>
      </c>
      <c r="I790" s="1">
        <v>0.11206000000000001</v>
      </c>
      <c r="J790" s="1">
        <v>477799000</v>
      </c>
      <c r="K790" s="1">
        <v>238604000</v>
      </c>
      <c r="L790">
        <v>2129269000</v>
      </c>
      <c r="M790">
        <v>400553000</v>
      </c>
      <c r="N790">
        <v>1930336000</v>
      </c>
      <c r="O790">
        <v>300125000</v>
      </c>
      <c r="P790">
        <v>424983000</v>
      </c>
      <c r="Q790">
        <v>692526000</v>
      </c>
      <c r="R790">
        <v>453922000</v>
      </c>
      <c r="S790">
        <v>423790000</v>
      </c>
      <c r="T790">
        <v>0.31424000000000002</v>
      </c>
      <c r="U790">
        <f t="shared" si="84"/>
        <v>1.6714759253220397</v>
      </c>
      <c r="V790">
        <f t="shared" si="85"/>
        <v>-3.7905130938663909</v>
      </c>
      <c r="W790">
        <f t="shared" si="86"/>
        <v>0.92165343740034722</v>
      </c>
      <c r="X790">
        <f t="shared" si="87"/>
        <v>0</v>
      </c>
      <c r="Y790">
        <f t="shared" si="88"/>
        <v>0</v>
      </c>
      <c r="Z790">
        <f t="shared" si="89"/>
        <v>0</v>
      </c>
      <c r="AA790">
        <f t="shared" si="90"/>
        <v>0</v>
      </c>
    </row>
    <row r="791" spans="1:27" x14ac:dyDescent="0.35">
      <c r="A791" s="1">
        <v>12.475303293825799</v>
      </c>
      <c r="B791" s="1">
        <v>22.7758983954066</v>
      </c>
      <c r="C791" s="1">
        <v>0.18150117275762501</v>
      </c>
      <c r="D791" s="1">
        <v>37.807690000000001</v>
      </c>
      <c r="E791" s="1">
        <v>21.120819999999998</v>
      </c>
      <c r="F791" s="1">
        <v>16.115919999999999</v>
      </c>
      <c r="G791" s="1">
        <v>2.4336700000000002</v>
      </c>
      <c r="H791" s="1">
        <v>0.94536284345009802</v>
      </c>
      <c r="I791" s="1">
        <v>0.28179999999999999</v>
      </c>
      <c r="J791" s="1">
        <v>397812000</v>
      </c>
      <c r="K791" s="1">
        <v>841812000</v>
      </c>
      <c r="L791">
        <v>2987304000</v>
      </c>
      <c r="M791">
        <v>424602000</v>
      </c>
      <c r="N791">
        <v>2418509000</v>
      </c>
      <c r="O791">
        <v>319154000</v>
      </c>
      <c r="P791">
        <v>630943000</v>
      </c>
      <c r="Q791">
        <v>1428986000</v>
      </c>
      <c r="R791">
        <v>587174000</v>
      </c>
      <c r="S791">
        <v>464332000</v>
      </c>
      <c r="T791">
        <v>0.27689999999999998</v>
      </c>
      <c r="U791">
        <f t="shared" si="84"/>
        <v>1.5685391990775379</v>
      </c>
      <c r="V791">
        <f t="shared" si="85"/>
        <v>-3.5671443840605277</v>
      </c>
      <c r="W791">
        <f t="shared" si="86"/>
        <v>1.0527749167811511</v>
      </c>
      <c r="X791">
        <f t="shared" si="87"/>
        <v>0</v>
      </c>
      <c r="Y791">
        <f t="shared" si="88"/>
        <v>0</v>
      </c>
      <c r="Z791">
        <f t="shared" si="89"/>
        <v>0</v>
      </c>
      <c r="AA791">
        <f t="shared" si="90"/>
        <v>0</v>
      </c>
    </row>
    <row r="792" spans="1:27" x14ac:dyDescent="0.35">
      <c r="A792" s="1">
        <v>5.9185916091929798</v>
      </c>
      <c r="B792" s="1">
        <v>10.600245441160901</v>
      </c>
      <c r="C792" s="1">
        <v>0.102182025357138</v>
      </c>
      <c r="D792" s="1">
        <v>34.352460000000001</v>
      </c>
      <c r="E792" s="1">
        <v>19.160789999999999</v>
      </c>
      <c r="F792" s="1">
        <v>7.4816599999999998</v>
      </c>
      <c r="G792" s="1">
        <v>2.0517699999999999</v>
      </c>
      <c r="H792" s="1">
        <v>0.82561457215714196</v>
      </c>
      <c r="I792" s="1">
        <v>0.22545000000000001</v>
      </c>
      <c r="J792" s="1">
        <v>413428000</v>
      </c>
      <c r="K792" s="1">
        <v>715467000</v>
      </c>
      <c r="L792">
        <v>3173486000</v>
      </c>
      <c r="M792">
        <v>254097000</v>
      </c>
      <c r="N792">
        <v>2543219000</v>
      </c>
      <c r="O792">
        <v>182316000</v>
      </c>
      <c r="P792">
        <v>608065000</v>
      </c>
      <c r="Q792">
        <v>1395717000</v>
      </c>
      <c r="R792">
        <v>680250000</v>
      </c>
      <c r="S792">
        <v>314761000</v>
      </c>
      <c r="T792">
        <v>0.29239999999999999</v>
      </c>
      <c r="U792">
        <f t="shared" si="84"/>
        <v>1.1038030908651799</v>
      </c>
      <c r="V792">
        <f t="shared" si="85"/>
        <v>-3.4581517731547735</v>
      </c>
      <c r="W792">
        <f t="shared" si="86"/>
        <v>0.76753852136105216</v>
      </c>
      <c r="X792">
        <f t="shared" si="87"/>
        <v>0</v>
      </c>
      <c r="Y792">
        <f t="shared" si="88"/>
        <v>0</v>
      </c>
      <c r="Z792">
        <f t="shared" si="89"/>
        <v>0</v>
      </c>
      <c r="AA792">
        <f t="shared" si="90"/>
        <v>0</v>
      </c>
    </row>
    <row r="793" spans="1:27" x14ac:dyDescent="0.35">
      <c r="A793" s="1">
        <v>0.71390434913475997</v>
      </c>
      <c r="B793" s="1">
        <v>1.30013912204529</v>
      </c>
      <c r="C793" s="1">
        <v>2.6135534953522999E-2</v>
      </c>
      <c r="D793" s="1">
        <v>44.73939</v>
      </c>
      <c r="E793" s="1">
        <v>22.828420000000001</v>
      </c>
      <c r="F793" s="1">
        <v>1.82226</v>
      </c>
      <c r="G793" s="1">
        <v>1.77193</v>
      </c>
      <c r="H793" s="1">
        <v>0.56787170794377495</v>
      </c>
      <c r="I793" s="1">
        <v>0.17535000000000001</v>
      </c>
      <c r="J793" s="1">
        <v>250968000</v>
      </c>
      <c r="K793" s="1">
        <v>605162000</v>
      </c>
      <c r="L793">
        <v>3451211000</v>
      </c>
      <c r="M793">
        <v>38775000</v>
      </c>
      <c r="N793">
        <v>1880989000</v>
      </c>
      <c r="O793">
        <v>23647000</v>
      </c>
      <c r="P793">
        <v>787857000</v>
      </c>
      <c r="Q793">
        <v>1389124000</v>
      </c>
      <c r="R793">
        <v>783962000</v>
      </c>
      <c r="S793">
        <v>86570000</v>
      </c>
      <c r="T793">
        <v>0.26613999999999999</v>
      </c>
      <c r="U793">
        <f t="shared" si="84"/>
        <v>0.50826883873748319</v>
      </c>
      <c r="V793">
        <f t="shared" si="85"/>
        <v>-3.0225253437800546</v>
      </c>
      <c r="W793">
        <f t="shared" si="86"/>
        <v>0.43181913797794458</v>
      </c>
      <c r="X793">
        <f t="shared" si="87"/>
        <v>1</v>
      </c>
      <c r="Y793">
        <f t="shared" si="88"/>
        <v>0</v>
      </c>
      <c r="Z793">
        <f t="shared" si="89"/>
        <v>0</v>
      </c>
      <c r="AA793">
        <f t="shared" si="90"/>
        <v>0</v>
      </c>
    </row>
    <row r="794" spans="1:27" x14ac:dyDescent="0.35">
      <c r="A794">
        <v>1.46323086667089</v>
      </c>
      <c r="B794" s="1">
        <v>2.88283028453858</v>
      </c>
      <c r="C794">
        <v>2.3125191094112998E-2</v>
      </c>
      <c r="D794">
        <v>46.607590000000002</v>
      </c>
      <c r="E794">
        <v>23.492560000000001</v>
      </c>
      <c r="F794">
        <v>1.4439299999999999</v>
      </c>
      <c r="G794">
        <v>1.7389699999999999</v>
      </c>
      <c r="H794">
        <v>0.51283314960855697</v>
      </c>
      <c r="I794">
        <v>0.17762</v>
      </c>
      <c r="J794">
        <v>394988000</v>
      </c>
      <c r="K794" s="1">
        <v>638332000</v>
      </c>
      <c r="L794">
        <v>3593747000</v>
      </c>
      <c r="M794">
        <v>28839000</v>
      </c>
      <c r="N794">
        <v>1806444000</v>
      </c>
      <c r="O794">
        <v>51542000</v>
      </c>
      <c r="P794">
        <v>844263000</v>
      </c>
      <c r="Q794">
        <v>1502145000</v>
      </c>
      <c r="R794">
        <v>863813000</v>
      </c>
      <c r="S794">
        <v>81458000</v>
      </c>
      <c r="T794">
        <v>0.26987</v>
      </c>
      <c r="U794">
        <f t="shared" si="84"/>
        <v>0.4756378945115059</v>
      </c>
      <c r="V794">
        <f t="shared" si="85"/>
        <v>-3.0185080711943622</v>
      </c>
      <c r="W794">
        <f t="shared" si="86"/>
        <v>0.42746444950075785</v>
      </c>
      <c r="X794">
        <f t="shared" si="87"/>
        <v>1</v>
      </c>
      <c r="Y794">
        <f t="shared" si="88"/>
        <v>0</v>
      </c>
      <c r="Z794">
        <f t="shared" si="89"/>
        <v>0</v>
      </c>
      <c r="AA794">
        <f t="shared" si="90"/>
        <v>0</v>
      </c>
    </row>
    <row r="795" spans="1:27" x14ac:dyDescent="0.35">
      <c r="A795" s="1">
        <v>3.5372636184789101</v>
      </c>
      <c r="B795" s="1">
        <v>6.41826129754992</v>
      </c>
      <c r="C795" s="1">
        <v>5.9056177692127003E-2</v>
      </c>
      <c r="D795" s="1">
        <v>36.706850000000003</v>
      </c>
      <c r="E795" s="1">
        <v>21.55828</v>
      </c>
      <c r="F795" s="1">
        <v>4.5643099999999999</v>
      </c>
      <c r="G795" s="1">
        <v>3.1405799999999999</v>
      </c>
      <c r="H795" s="1">
        <v>0.60102084511739895</v>
      </c>
      <c r="I795" s="1">
        <v>0.39946999999999999</v>
      </c>
      <c r="J795" s="1">
        <v>230037000</v>
      </c>
      <c r="K795" s="1">
        <v>1994591000</v>
      </c>
      <c r="L795">
        <v>4993060000</v>
      </c>
      <c r="M795">
        <v>201996000</v>
      </c>
      <c r="N795">
        <v>2580425000</v>
      </c>
      <c r="O795">
        <v>151869000</v>
      </c>
      <c r="P795">
        <v>1076418000</v>
      </c>
      <c r="Q795">
        <v>2926390000</v>
      </c>
      <c r="R795">
        <v>931799000</v>
      </c>
      <c r="S795">
        <v>253552000</v>
      </c>
      <c r="T795">
        <v>0.2049</v>
      </c>
      <c r="U795">
        <f t="shared" si="84"/>
        <v>0.91715032426175769</v>
      </c>
      <c r="V795">
        <f t="shared" si="85"/>
        <v>-3.19548763034497</v>
      </c>
      <c r="W795">
        <f t="shared" si="86"/>
        <v>0.88947468726592505</v>
      </c>
      <c r="X795">
        <f t="shared" si="87"/>
        <v>0</v>
      </c>
      <c r="Y795">
        <f t="shared" si="88"/>
        <v>0</v>
      </c>
      <c r="Z795">
        <f t="shared" si="89"/>
        <v>0</v>
      </c>
      <c r="AA795">
        <f t="shared" si="90"/>
        <v>0</v>
      </c>
    </row>
    <row r="796" spans="1:27" x14ac:dyDescent="0.35">
      <c r="A796" s="1">
        <v>-3.0111869164463601</v>
      </c>
      <c r="B796" s="1">
        <v>-5.2154233368030098</v>
      </c>
      <c r="C796" s="1">
        <v>-2.3424530514219999E-2</v>
      </c>
      <c r="D796" s="1">
        <v>52.368369999999999</v>
      </c>
      <c r="E796" s="1">
        <v>29.84019</v>
      </c>
      <c r="F796" s="1">
        <v>-1.6761600000000001</v>
      </c>
      <c r="G796" s="1">
        <v>3.7545000000000002</v>
      </c>
      <c r="H796" s="1">
        <v>0.48062230806603401</v>
      </c>
      <c r="I796" s="1">
        <v>0.33953</v>
      </c>
      <c r="J796" s="1">
        <v>-231250000</v>
      </c>
      <c r="K796" s="1">
        <v>1673861000</v>
      </c>
      <c r="L796">
        <v>4929871000</v>
      </c>
      <c r="M796">
        <v>-176475000</v>
      </c>
      <c r="N796">
        <v>2384591000</v>
      </c>
      <c r="O796">
        <v>-149399000</v>
      </c>
      <c r="P796">
        <v>1471083000</v>
      </c>
      <c r="Q796">
        <v>2281544000</v>
      </c>
      <c r="R796">
        <v>607683000</v>
      </c>
      <c r="S796">
        <v>-116220000</v>
      </c>
      <c r="T796">
        <v>0.17496</v>
      </c>
      <c r="U796">
        <f t="shared" si="84"/>
        <v>0.27915910663907711</v>
      </c>
      <c r="V796">
        <f t="shared" si="85"/>
        <v>-2.4477192114144746</v>
      </c>
      <c r="W796">
        <f t="shared" si="86"/>
        <v>0.53649883191669712</v>
      </c>
      <c r="X796">
        <f t="shared" si="87"/>
        <v>1</v>
      </c>
      <c r="Y796">
        <f t="shared" si="88"/>
        <v>0</v>
      </c>
      <c r="Z796">
        <f t="shared" si="89"/>
        <v>0</v>
      </c>
      <c r="AA796">
        <f t="shared" si="90"/>
        <v>0</v>
      </c>
    </row>
    <row r="797" spans="1:27" x14ac:dyDescent="0.35">
      <c r="A797" s="1">
        <v>-0.58091923018670799</v>
      </c>
      <c r="B797" s="1">
        <v>-1.18789324254961</v>
      </c>
      <c r="C797" s="1">
        <v>-5.2872052572740004E-3</v>
      </c>
      <c r="D797" s="1">
        <v>58.141590000000001</v>
      </c>
      <c r="E797" s="1">
        <v>31.00393</v>
      </c>
      <c r="F797" s="1">
        <v>-0.24976000000000001</v>
      </c>
      <c r="G797" s="1">
        <v>3.4716100000000001</v>
      </c>
      <c r="H797" s="1">
        <v>0.40968623590153702</v>
      </c>
      <c r="I797" s="1">
        <v>0.35980000000000001</v>
      </c>
      <c r="J797" s="1">
        <v>193116000</v>
      </c>
      <c r="K797" s="1">
        <v>2020098000</v>
      </c>
      <c r="L797">
        <v>5614452000</v>
      </c>
      <c r="M797">
        <v>-53243000</v>
      </c>
      <c r="N797">
        <v>2159932000</v>
      </c>
      <c r="O797">
        <v>-30627000</v>
      </c>
      <c r="P797">
        <v>1740701000</v>
      </c>
      <c r="Q797">
        <v>2837420000</v>
      </c>
      <c r="R797">
        <v>817322000</v>
      </c>
      <c r="S797">
        <v>-27875000</v>
      </c>
      <c r="T797">
        <v>0.14230000000000001</v>
      </c>
      <c r="U797">
        <f t="shared" si="84"/>
        <v>0.46624438723742451</v>
      </c>
      <c r="V797">
        <f t="shared" si="85"/>
        <v>-2.4943416985090274</v>
      </c>
      <c r="W797">
        <f t="shared" si="86"/>
        <v>0.63368765678288819</v>
      </c>
      <c r="X797">
        <f t="shared" si="87"/>
        <v>1</v>
      </c>
      <c r="Y797">
        <f t="shared" si="88"/>
        <v>0</v>
      </c>
      <c r="Z797">
        <f t="shared" si="89"/>
        <v>0</v>
      </c>
      <c r="AA797">
        <f t="shared" si="90"/>
        <v>0</v>
      </c>
    </row>
    <row r="798" spans="1:27" x14ac:dyDescent="0.35">
      <c r="A798" s="1">
        <v>-1.0025442376414799</v>
      </c>
      <c r="B798" s="1">
        <v>-2.55383630992428</v>
      </c>
      <c r="C798" s="1">
        <v>-1.0064827409285999E-2</v>
      </c>
      <c r="D798" s="1">
        <v>68.216549999999998</v>
      </c>
      <c r="E798" s="1">
        <v>35.353659999999998</v>
      </c>
      <c r="F798" s="1">
        <v>-0.42742000000000002</v>
      </c>
      <c r="G798" s="1">
        <v>3.02203</v>
      </c>
      <c r="H798" s="1">
        <v>0.3167415307543</v>
      </c>
      <c r="I798" s="1">
        <v>0.29341</v>
      </c>
      <c r="J798" s="1">
        <v>-71286000</v>
      </c>
      <c r="K798" s="1">
        <v>1660390000</v>
      </c>
      <c r="L798">
        <v>5658866000</v>
      </c>
      <c r="M798">
        <v>-87158000</v>
      </c>
      <c r="N798">
        <v>1785364000</v>
      </c>
      <c r="O798">
        <v>-56510000</v>
      </c>
      <c r="P798">
        <v>2000616000</v>
      </c>
      <c r="Q798">
        <v>2481541000</v>
      </c>
      <c r="R798">
        <v>821151000</v>
      </c>
      <c r="S798">
        <v>-56732000</v>
      </c>
      <c r="T798">
        <v>0.12366000000000001</v>
      </c>
      <c r="U798">
        <f t="shared" si="84"/>
        <v>0.32758475243119323</v>
      </c>
      <c r="V798">
        <f t="shared" si="85"/>
        <v>-2.2278160682124066</v>
      </c>
      <c r="W798">
        <f t="shared" si="86"/>
        <v>0.50684695025469773</v>
      </c>
      <c r="X798">
        <f t="shared" si="87"/>
        <v>1</v>
      </c>
      <c r="Y798">
        <f t="shared" si="88"/>
        <v>0</v>
      </c>
      <c r="Z798">
        <f t="shared" si="89"/>
        <v>0</v>
      </c>
      <c r="AA798">
        <f t="shared" si="90"/>
        <v>0</v>
      </c>
    </row>
    <row r="799" spans="1:27" x14ac:dyDescent="0.35">
      <c r="A799" s="1" t="s">
        <v>3</v>
      </c>
      <c r="B799" s="1" t="s">
        <v>3</v>
      </c>
      <c r="C799" s="1" t="s">
        <v>3</v>
      </c>
      <c r="D799" s="1" t="s">
        <v>3</v>
      </c>
      <c r="E799" s="1" t="s">
        <v>3</v>
      </c>
      <c r="F799" s="1" t="s">
        <v>3</v>
      </c>
      <c r="G799" s="1" t="s">
        <v>3</v>
      </c>
      <c r="H799" s="1" t="s">
        <v>3</v>
      </c>
      <c r="I799" s="1" t="s">
        <v>3</v>
      </c>
      <c r="J799" s="1" t="s">
        <v>3</v>
      </c>
      <c r="K799" s="1" t="s">
        <v>3</v>
      </c>
      <c r="L799" s="1" t="s">
        <v>3</v>
      </c>
      <c r="M799" s="1" t="s">
        <v>3</v>
      </c>
      <c r="N799" s="1" t="s">
        <v>3</v>
      </c>
      <c r="O799" s="1" t="s">
        <v>3</v>
      </c>
      <c r="P799" s="1" t="s">
        <v>3</v>
      </c>
      <c r="Q799" s="1" t="s">
        <v>3</v>
      </c>
      <c r="R799" s="1" t="s">
        <v>3</v>
      </c>
      <c r="S799" s="1" t="s">
        <v>3</v>
      </c>
      <c r="T799" s="1" t="s">
        <v>3</v>
      </c>
      <c r="U799" t="e">
        <f t="shared" si="84"/>
        <v>#VALUE!</v>
      </c>
      <c r="V799" t="e">
        <f t="shared" si="85"/>
        <v>#VALUE!</v>
      </c>
      <c r="W799" t="e">
        <f t="shared" si="86"/>
        <v>#VALUE!</v>
      </c>
      <c r="X799" t="e">
        <f t="shared" si="87"/>
        <v>#VALUE!</v>
      </c>
      <c r="Y799" t="e">
        <f t="shared" si="88"/>
        <v>#VALUE!</v>
      </c>
      <c r="Z799" t="e">
        <f t="shared" si="89"/>
        <v>#VALUE!</v>
      </c>
      <c r="AA799" t="e">
        <f t="shared" si="90"/>
        <v>#VALUE!</v>
      </c>
    </row>
    <row r="800" spans="1:27" x14ac:dyDescent="0.35">
      <c r="A800" s="1" t="s">
        <v>3</v>
      </c>
      <c r="B800" s="1" t="s">
        <v>3</v>
      </c>
      <c r="C800" s="1" t="s">
        <v>3</v>
      </c>
      <c r="D800" s="1">
        <v>57.951529999999998</v>
      </c>
      <c r="E800" s="1">
        <v>22.162040000000001</v>
      </c>
      <c r="F800" s="1">
        <v>4.01065</v>
      </c>
      <c r="G800" s="1">
        <v>0.31707000000000002</v>
      </c>
      <c r="H800" s="1" t="s">
        <v>3</v>
      </c>
      <c r="I800" s="1">
        <v>-0.40969</v>
      </c>
      <c r="J800" s="1">
        <v>70651277000</v>
      </c>
      <c r="K800" s="1">
        <v>-109409735000</v>
      </c>
      <c r="L800">
        <v>267055010000</v>
      </c>
      <c r="M800">
        <v>28276472000</v>
      </c>
      <c r="N800">
        <v>129269119000</v>
      </c>
      <c r="O800">
        <v>28760849000</v>
      </c>
      <c r="P800">
        <v>59184847000</v>
      </c>
      <c r="Q800">
        <v>50797694000</v>
      </c>
      <c r="R800">
        <v>160207429000</v>
      </c>
      <c r="S800">
        <v>36957476000</v>
      </c>
      <c r="T800">
        <v>0.37868000000000002</v>
      </c>
      <c r="U800">
        <f t="shared" si="84"/>
        <v>0.31298479223475817</v>
      </c>
      <c r="V800">
        <f t="shared" si="85"/>
        <v>-3.5201287938437584</v>
      </c>
      <c r="W800">
        <f t="shared" si="86"/>
        <v>-0.14618900162928969</v>
      </c>
      <c r="X800">
        <f t="shared" si="87"/>
        <v>1</v>
      </c>
      <c r="Y800">
        <f t="shared" si="88"/>
        <v>0</v>
      </c>
      <c r="Z800">
        <f t="shared" si="89"/>
        <v>1</v>
      </c>
      <c r="AA800">
        <f t="shared" si="90"/>
        <v>1</v>
      </c>
    </row>
    <row r="801" spans="1:27" x14ac:dyDescent="0.35">
      <c r="A801" s="1">
        <v>14.0844071373006</v>
      </c>
      <c r="B801" s="1">
        <v>32.054559688597003</v>
      </c>
      <c r="C801" s="1">
        <v>0.12536121911449799</v>
      </c>
      <c r="D801" s="1">
        <v>54.275419999999997</v>
      </c>
      <c r="E801" s="1">
        <v>26.84299</v>
      </c>
      <c r="F801" s="1">
        <v>5.4944199999999999</v>
      </c>
      <c r="G801" s="1">
        <v>1.1994499999999999</v>
      </c>
      <c r="H801" s="1">
        <v>0.66822518721869195</v>
      </c>
      <c r="I801" s="1">
        <v>4.1050000000000003E-2</v>
      </c>
      <c r="J801" s="1">
        <v>41162811000</v>
      </c>
      <c r="K801" s="1">
        <v>11316112000</v>
      </c>
      <c r="L801">
        <v>275686202000</v>
      </c>
      <c r="M801">
        <v>40604784000</v>
      </c>
      <c r="N801">
        <v>181336674000</v>
      </c>
      <c r="O801">
        <v>38220941000</v>
      </c>
      <c r="P801">
        <v>74002411000</v>
      </c>
      <c r="Q801">
        <v>68051859000</v>
      </c>
      <c r="R801">
        <v>56735747000</v>
      </c>
      <c r="S801">
        <v>34019350000</v>
      </c>
      <c r="T801">
        <v>0.22005</v>
      </c>
      <c r="U801">
        <f t="shared" si="84"/>
        <v>1.1565692353560086</v>
      </c>
      <c r="V801">
        <f t="shared" si="85"/>
        <v>-3.3890287693436227</v>
      </c>
      <c r="W801">
        <f t="shared" si="86"/>
        <v>0.54699545960591811</v>
      </c>
      <c r="X801">
        <f t="shared" si="87"/>
        <v>0</v>
      </c>
      <c r="Y801">
        <f t="shared" si="88"/>
        <v>0</v>
      </c>
      <c r="Z801">
        <f t="shared" si="89"/>
        <v>0</v>
      </c>
      <c r="AA801">
        <f t="shared" si="90"/>
        <v>0</v>
      </c>
    </row>
    <row r="802" spans="1:27" x14ac:dyDescent="0.35">
      <c r="A802" s="1">
        <v>11.511939302790999</v>
      </c>
      <c r="B802" s="1">
        <v>28.763604830354701</v>
      </c>
      <c r="C802" s="1">
        <v>0.16664107145253801</v>
      </c>
      <c r="D802" s="1">
        <v>143.42569</v>
      </c>
      <c r="E802" s="1">
        <v>49.91666</v>
      </c>
      <c r="F802" s="1">
        <v>3.1578599999999999</v>
      </c>
      <c r="G802" s="1">
        <v>0.77820999999999996</v>
      </c>
      <c r="H802" s="1">
        <v>0.56755179246258303</v>
      </c>
      <c r="I802" s="1">
        <v>-6.0249999999999998E-2</v>
      </c>
      <c r="J802" s="1">
        <v>51825795000</v>
      </c>
      <c r="K802" s="1">
        <v>-30025757000</v>
      </c>
      <c r="L802">
        <v>498371267000</v>
      </c>
      <c r="M802">
        <v>42214739000</v>
      </c>
      <c r="N802">
        <v>219658852000</v>
      </c>
      <c r="O802">
        <v>44554513000</v>
      </c>
      <c r="P802">
        <v>248770314000</v>
      </c>
      <c r="Q802">
        <v>105353966000</v>
      </c>
      <c r="R802">
        <v>135379723000</v>
      </c>
      <c r="S802">
        <v>64494883000</v>
      </c>
      <c r="T802">
        <v>0.19617999999999999</v>
      </c>
      <c r="U802">
        <f t="shared" si="84"/>
        <v>0.71734321421467273</v>
      </c>
      <c r="V802">
        <f t="shared" si="85"/>
        <v>-1.8539383714902025</v>
      </c>
      <c r="W802">
        <f t="shared" si="86"/>
        <v>0.39953771473948158</v>
      </c>
      <c r="X802">
        <f t="shared" si="87"/>
        <v>1</v>
      </c>
      <c r="Y802">
        <f t="shared" si="88"/>
        <v>0</v>
      </c>
      <c r="Z802">
        <f t="shared" si="89"/>
        <v>0</v>
      </c>
      <c r="AA802">
        <f t="shared" si="90"/>
        <v>0</v>
      </c>
    </row>
    <row r="803" spans="1:27" x14ac:dyDescent="0.35">
      <c r="A803" s="1">
        <v>4.4082655660369001</v>
      </c>
      <c r="B803" s="1">
        <v>8.4207055359109209</v>
      </c>
      <c r="C803" s="1">
        <v>5.7690541926161999E-2</v>
      </c>
      <c r="D803" s="1">
        <v>32.845610000000001</v>
      </c>
      <c r="E803" s="1">
        <v>24.064789999999999</v>
      </c>
      <c r="F803" s="1">
        <v>2.4105500000000002</v>
      </c>
      <c r="G803" s="1">
        <v>3.5527000000000002</v>
      </c>
      <c r="H803" s="1">
        <v>0.33808993757149097</v>
      </c>
      <c r="I803" s="1">
        <v>0.29688999999999999</v>
      </c>
      <c r="J803" s="1">
        <v>8601963000</v>
      </c>
      <c r="K803" s="1">
        <v>408969998000</v>
      </c>
      <c r="L803">
        <v>1377530508000</v>
      </c>
      <c r="M803">
        <v>41584811000</v>
      </c>
      <c r="N803">
        <v>317111757000</v>
      </c>
      <c r="O803">
        <v>41347366000</v>
      </c>
      <c r="P803">
        <v>331499783000</v>
      </c>
      <c r="Q803">
        <v>569180525000</v>
      </c>
      <c r="R803">
        <v>160210527000</v>
      </c>
      <c r="S803">
        <v>54110895000</v>
      </c>
      <c r="T803">
        <v>4.2810000000000001E-2</v>
      </c>
      <c r="U803">
        <f t="shared" si="84"/>
        <v>0.68977903474401636</v>
      </c>
      <c r="V803">
        <f t="shared" si="85"/>
        <v>-3.0491663982893056</v>
      </c>
      <c r="W803">
        <f t="shared" si="86"/>
        <v>0.68105553716854594</v>
      </c>
      <c r="X803">
        <f t="shared" si="87"/>
        <v>1</v>
      </c>
      <c r="Y803">
        <f t="shared" si="88"/>
        <v>0</v>
      </c>
      <c r="Z803">
        <f t="shared" si="89"/>
        <v>0</v>
      </c>
      <c r="AA803">
        <f t="shared" si="90"/>
        <v>0</v>
      </c>
    </row>
    <row r="804" spans="1:27" x14ac:dyDescent="0.35">
      <c r="A804" s="1">
        <v>8.6804461049705299</v>
      </c>
      <c r="B804" s="1">
        <v>10.181476555216401</v>
      </c>
      <c r="C804" s="1">
        <v>7.0275159089254996E-2</v>
      </c>
      <c r="D804" s="1">
        <v>33.910060000000001</v>
      </c>
      <c r="E804" s="1">
        <v>24.56908</v>
      </c>
      <c r="F804" s="1">
        <v>4.19848</v>
      </c>
      <c r="G804" s="1">
        <v>5.4091399999999998</v>
      </c>
      <c r="H804" s="1">
        <v>0.22341352911902099</v>
      </c>
      <c r="I804" s="1">
        <v>0.33739999999999998</v>
      </c>
      <c r="J804" s="1">
        <v>55783725631</v>
      </c>
      <c r="K804" s="1">
        <v>544860207506</v>
      </c>
      <c r="L804">
        <v>1614884544393</v>
      </c>
      <c r="M804">
        <v>134696278920</v>
      </c>
      <c r="N804">
        <v>334273003722</v>
      </c>
      <c r="O804">
        <v>129877487930</v>
      </c>
      <c r="P804">
        <v>396762263337</v>
      </c>
      <c r="Q804">
        <v>668435505508</v>
      </c>
      <c r="R804">
        <v>123575298002</v>
      </c>
      <c r="S804">
        <v>105146221934</v>
      </c>
      <c r="T804">
        <v>8.7590000000000001E-2</v>
      </c>
      <c r="U804">
        <f t="shared" si="84"/>
        <v>1.3496043421737371</v>
      </c>
      <c r="V804">
        <f t="shared" si="85"/>
        <v>-3.2398395524933719</v>
      </c>
      <c r="W804">
        <f t="shared" si="86"/>
        <v>0.83663166223028818</v>
      </c>
      <c r="X804">
        <f t="shared" si="87"/>
        <v>0</v>
      </c>
      <c r="Y804">
        <f t="shared" si="88"/>
        <v>0</v>
      </c>
      <c r="Z804">
        <f t="shared" si="89"/>
        <v>0</v>
      </c>
      <c r="AA804">
        <f t="shared" si="90"/>
        <v>0</v>
      </c>
    </row>
    <row r="805" spans="1:27" x14ac:dyDescent="0.35">
      <c r="A805" s="1">
        <v>7.8921522608824999</v>
      </c>
      <c r="B805" s="1">
        <v>9.9971563694264294</v>
      </c>
      <c r="C805" s="1">
        <v>8.3417067929886998E-2</v>
      </c>
      <c r="D805" s="1">
        <v>63.725349999999999</v>
      </c>
      <c r="E805" s="1">
        <v>37.272460000000002</v>
      </c>
      <c r="F805" s="1">
        <v>6.2216500000000003</v>
      </c>
      <c r="G805" s="1">
        <v>3.1416900000000001</v>
      </c>
      <c r="H805" s="1">
        <v>0.21368062364387599</v>
      </c>
      <c r="I805" s="1">
        <v>0.19359999999999999</v>
      </c>
      <c r="J805" s="1">
        <v>135102121089</v>
      </c>
      <c r="K805" s="1">
        <v>422933841560</v>
      </c>
      <c r="L805">
        <v>2184537656953</v>
      </c>
      <c r="M805">
        <v>143115405780</v>
      </c>
      <c r="N805">
        <v>405931452735</v>
      </c>
      <c r="O805">
        <v>149928092582</v>
      </c>
      <c r="P805">
        <v>814231015682</v>
      </c>
      <c r="Q805">
        <v>620410207812</v>
      </c>
      <c r="R805">
        <v>197476366252</v>
      </c>
      <c r="S805">
        <v>158468329932</v>
      </c>
      <c r="T805">
        <v>9.4950000000000007E-2</v>
      </c>
      <c r="U805">
        <f t="shared" si="84"/>
        <v>0.97475646902800195</v>
      </c>
      <c r="V805">
        <f t="shared" si="85"/>
        <v>-2.4717445104632318</v>
      </c>
      <c r="W805">
        <f t="shared" si="86"/>
        <v>0.6244728834260197</v>
      </c>
      <c r="X805">
        <f t="shared" si="87"/>
        <v>0</v>
      </c>
      <c r="Y805">
        <f t="shared" si="88"/>
        <v>0</v>
      </c>
      <c r="Z805">
        <f t="shared" si="89"/>
        <v>0</v>
      </c>
      <c r="AA805">
        <f t="shared" si="90"/>
        <v>0</v>
      </c>
    </row>
    <row r="806" spans="1:27" x14ac:dyDescent="0.35">
      <c r="A806" s="1">
        <v>6.1979206525665598</v>
      </c>
      <c r="B806" s="1">
        <v>9.5358520703931902</v>
      </c>
      <c r="C806" s="1">
        <v>8.2465960107164005E-2</v>
      </c>
      <c r="D806" s="1">
        <v>65.640720000000002</v>
      </c>
      <c r="E806" s="1">
        <v>38.102379999999997</v>
      </c>
      <c r="F806" s="1">
        <v>3.68784</v>
      </c>
      <c r="G806" s="1">
        <v>1.76173</v>
      </c>
      <c r="H806" s="1">
        <v>0.23235798180648901</v>
      </c>
      <c r="I806" s="1">
        <v>9.3219999999999997E-2</v>
      </c>
      <c r="J806" s="1">
        <v>257650302286.888</v>
      </c>
      <c r="K806" s="1">
        <v>239653833480</v>
      </c>
      <c r="L806">
        <v>2570785156260</v>
      </c>
      <c r="M806">
        <v>156317035142.70599</v>
      </c>
      <c r="N806">
        <v>552468605858.26404</v>
      </c>
      <c r="O806">
        <v>147365567368.16901</v>
      </c>
      <c r="P806">
        <v>979530398280</v>
      </c>
      <c r="Q806">
        <v>554270931420</v>
      </c>
      <c r="R806">
        <v>314617097940</v>
      </c>
      <c r="S806">
        <v>196076130705.556</v>
      </c>
      <c r="T806">
        <v>0.11253000000000001</v>
      </c>
      <c r="U806">
        <f t="shared" si="84"/>
        <v>0.74405148642543095</v>
      </c>
      <c r="V806">
        <f t="shared" si="85"/>
        <v>-2.3790715473161801</v>
      </c>
      <c r="W806">
        <f t="shared" si="86"/>
        <v>0.47135972222249356</v>
      </c>
      <c r="X806">
        <f t="shared" si="87"/>
        <v>1</v>
      </c>
      <c r="Y806">
        <f t="shared" si="88"/>
        <v>0</v>
      </c>
      <c r="Z806">
        <f t="shared" si="89"/>
        <v>0</v>
      </c>
      <c r="AA806">
        <f t="shared" si="90"/>
        <v>0</v>
      </c>
    </row>
    <row r="807" spans="1:27" x14ac:dyDescent="0.35">
      <c r="A807" s="1">
        <v>-9.8888955696018197</v>
      </c>
      <c r="B807" s="1">
        <v>-24.0457885073452</v>
      </c>
      <c r="C807" s="1">
        <v>8.0886833583520001E-3</v>
      </c>
      <c r="D807" s="1">
        <v>123.20141</v>
      </c>
      <c r="E807" s="1">
        <v>49.569659999999999</v>
      </c>
      <c r="F807" s="1">
        <v>0.27038000000000001</v>
      </c>
      <c r="G807" s="1">
        <v>0.37820999999999999</v>
      </c>
      <c r="H807" s="1">
        <v>0.17536319831425301</v>
      </c>
      <c r="I807" s="1">
        <v>-0.33583000000000002</v>
      </c>
      <c r="J807" s="1">
        <v>170019009312.09799</v>
      </c>
      <c r="K807" s="1">
        <v>-1085957101530</v>
      </c>
      <c r="L807">
        <v>3233671836840</v>
      </c>
      <c r="M807">
        <v>-276566291544.53699</v>
      </c>
      <c r="N807">
        <v>508944071393.77399</v>
      </c>
      <c r="O807">
        <v>-286998345215.05402</v>
      </c>
      <c r="P807">
        <v>1602920077290</v>
      </c>
      <c r="Q807">
        <v>660551755230</v>
      </c>
      <c r="R807">
        <v>1746508856760</v>
      </c>
      <c r="S807">
        <v>23475207342.179798</v>
      </c>
      <c r="T807">
        <v>-4.4000000000000002E-4</v>
      </c>
      <c r="U807">
        <f t="shared" si="84"/>
        <v>-0.36517362266852693</v>
      </c>
      <c r="V807">
        <f t="shared" si="85"/>
        <v>-1.0736277572663366</v>
      </c>
      <c r="W807">
        <f t="shared" si="86"/>
        <v>-0.47382429877379445</v>
      </c>
      <c r="X807">
        <f t="shared" si="87"/>
        <v>1</v>
      </c>
      <c r="Y807">
        <f t="shared" si="88"/>
        <v>0</v>
      </c>
      <c r="Z807">
        <f t="shared" si="89"/>
        <v>1</v>
      </c>
      <c r="AA807">
        <f t="shared" si="90"/>
        <v>1</v>
      </c>
    </row>
    <row r="808" spans="1:27" x14ac:dyDescent="0.35">
      <c r="A808" s="1">
        <v>1.1331602098667799</v>
      </c>
      <c r="B808" s="1">
        <v>1.3137791600383999</v>
      </c>
      <c r="C808" s="1">
        <v>3.3001618035963E-2</v>
      </c>
      <c r="D808" s="1">
        <v>107.89175</v>
      </c>
      <c r="E808" s="1">
        <v>46.964970000000001</v>
      </c>
      <c r="F808" s="1">
        <v>0.98904000000000003</v>
      </c>
      <c r="G808" s="1">
        <v>0.45017000000000001</v>
      </c>
      <c r="H808" s="1">
        <v>0.18519759080874901</v>
      </c>
      <c r="I808" s="1">
        <v>-0.25774999999999998</v>
      </c>
      <c r="J808" s="1">
        <v>164840284896.93201</v>
      </c>
      <c r="K808" s="1">
        <v>-1000595644160</v>
      </c>
      <c r="L808">
        <v>3882043228160</v>
      </c>
      <c r="M808">
        <v>52971197031.798401</v>
      </c>
      <c r="N808">
        <v>658906643459.76001</v>
      </c>
      <c r="O808">
        <v>40316225882.038101</v>
      </c>
      <c r="P808">
        <v>1823200321920</v>
      </c>
      <c r="Q808">
        <v>819226885120</v>
      </c>
      <c r="R808">
        <v>1819822529280</v>
      </c>
      <c r="S808">
        <v>117415055313.94</v>
      </c>
      <c r="T808">
        <v>4.6499999999999996E-3</v>
      </c>
      <c r="U808">
        <f t="shared" si="84"/>
        <v>-8.5524007569218644E-2</v>
      </c>
      <c r="V808">
        <f t="shared" si="85"/>
        <v>-1.6679301045451334</v>
      </c>
      <c r="W808">
        <f t="shared" si="86"/>
        <v>-0.26516460030354133</v>
      </c>
      <c r="X808">
        <f t="shared" si="87"/>
        <v>1</v>
      </c>
      <c r="Y808">
        <f t="shared" si="88"/>
        <v>0</v>
      </c>
      <c r="Z808">
        <f t="shared" si="89"/>
        <v>1</v>
      </c>
      <c r="AA808">
        <f t="shared" si="90"/>
        <v>1</v>
      </c>
    </row>
    <row r="809" spans="1:27" x14ac:dyDescent="0.35">
      <c r="A809" s="1">
        <v>-10.8218086147427</v>
      </c>
      <c r="B809" s="1">
        <v>-32.360330168729199</v>
      </c>
      <c r="C809" s="1">
        <v>1.3399106715025E-2</v>
      </c>
      <c r="D809" s="1">
        <v>145.54285999999999</v>
      </c>
      <c r="E809" s="1">
        <v>53.628480000000003</v>
      </c>
      <c r="F809" s="1">
        <v>0.34172999999999998</v>
      </c>
      <c r="G809" s="1">
        <v>0.53842000000000001</v>
      </c>
      <c r="H809" s="1">
        <v>0.19187544162371201</v>
      </c>
      <c r="I809" s="1">
        <v>-0.19173000000000001</v>
      </c>
      <c r="J809" s="1">
        <v>194269520837.42801</v>
      </c>
      <c r="K809" s="1">
        <v>-677939545840</v>
      </c>
      <c r="L809">
        <v>3535953216960</v>
      </c>
      <c r="M809">
        <v>-389414332220.84998</v>
      </c>
      <c r="N809">
        <v>711665671935.26404</v>
      </c>
      <c r="O809">
        <v>-401380689169.651</v>
      </c>
      <c r="P809">
        <v>1896277852680</v>
      </c>
      <c r="Q809">
        <v>790811583660</v>
      </c>
      <c r="R809">
        <v>1468751129500</v>
      </c>
      <c r="S809">
        <v>49697262989.918198</v>
      </c>
      <c r="T809">
        <v>-0.11438</v>
      </c>
      <c r="U809">
        <f t="shared" si="84"/>
        <v>-0.24881250366737803</v>
      </c>
      <c r="V809">
        <f t="shared" si="85"/>
        <v>-0.73020949024951187</v>
      </c>
      <c r="W809">
        <f t="shared" si="86"/>
        <v>-0.21332395503999843</v>
      </c>
      <c r="X809">
        <f t="shared" si="87"/>
        <v>1</v>
      </c>
      <c r="Y809">
        <f t="shared" si="88"/>
        <v>0</v>
      </c>
      <c r="Z809">
        <f t="shared" si="89"/>
        <v>1</v>
      </c>
      <c r="AA809">
        <f t="shared" si="90"/>
        <v>1</v>
      </c>
    </row>
    <row r="810" spans="1:27" x14ac:dyDescent="0.35">
      <c r="A810" s="1">
        <v>-32.0826983069812</v>
      </c>
      <c r="B810" s="1">
        <v>-144.491773649972</v>
      </c>
      <c r="C810" s="1">
        <v>-4.1005984520899999E-2</v>
      </c>
      <c r="D810" s="1">
        <v>504.60705999999999</v>
      </c>
      <c r="E810" s="1">
        <v>70.970460000000003</v>
      </c>
      <c r="F810" s="1">
        <v>-1.0902400000000001</v>
      </c>
      <c r="G810" s="1">
        <v>0.23294000000000001</v>
      </c>
      <c r="H810" s="1">
        <v>0.14180356495796001</v>
      </c>
      <c r="I810" s="1">
        <v>-0.51802999999999999</v>
      </c>
      <c r="J810" s="1">
        <v>81959556808.152603</v>
      </c>
      <c r="K810" s="1">
        <v>-1467077295765</v>
      </c>
      <c r="L810">
        <v>2832013862070</v>
      </c>
      <c r="M810">
        <v>-1014334831216.09</v>
      </c>
      <c r="N810">
        <v>451500216670.69202</v>
      </c>
      <c r="O810">
        <v>-1021507833126.54</v>
      </c>
      <c r="P810">
        <v>2009893390050</v>
      </c>
      <c r="Q810">
        <v>445514685570</v>
      </c>
      <c r="R810">
        <v>1912591981335</v>
      </c>
      <c r="S810">
        <v>-130562379736.153</v>
      </c>
      <c r="T810">
        <v>-0.49586000000000002</v>
      </c>
      <c r="U810">
        <f t="shared" si="84"/>
        <v>-0.961365541850011</v>
      </c>
      <c r="V810">
        <f t="shared" si="85"/>
        <v>1.369398910094964</v>
      </c>
      <c r="W810">
        <f t="shared" si="86"/>
        <v>-0.96045829798234117</v>
      </c>
      <c r="X810">
        <f t="shared" si="87"/>
        <v>1</v>
      </c>
      <c r="Y810">
        <f t="shared" si="88"/>
        <v>1</v>
      </c>
      <c r="Z810">
        <f t="shared" si="89"/>
        <v>1</v>
      </c>
      <c r="AA810">
        <f t="shared" si="90"/>
        <v>1</v>
      </c>
    </row>
    <row r="811" spans="1:27" x14ac:dyDescent="0.35">
      <c r="A811" s="1">
        <v>-10.515944918973201</v>
      </c>
      <c r="B811" s="1">
        <v>-205.224646346284</v>
      </c>
      <c r="C811" s="1">
        <v>-1.7416946245932E-2</v>
      </c>
      <c r="D811" s="1">
        <v>1321.81664</v>
      </c>
      <c r="E811" s="1">
        <v>74.473380000000006</v>
      </c>
      <c r="F811" s="1">
        <v>-0.30295</v>
      </c>
      <c r="G811" s="1">
        <v>0.21614</v>
      </c>
      <c r="H811" s="1">
        <v>0.14288532139961899</v>
      </c>
      <c r="I811" s="1">
        <v>-0.60102999999999995</v>
      </c>
      <c r="J811" s="1">
        <v>141222546165.73001</v>
      </c>
      <c r="K811" s="1">
        <v>-1309746707970</v>
      </c>
      <c r="L811">
        <v>2179180169550</v>
      </c>
      <c r="M811">
        <v>-256110261341.23401</v>
      </c>
      <c r="N811">
        <v>358013034901.93701</v>
      </c>
      <c r="O811">
        <v>-263487202074.01599</v>
      </c>
      <c r="P811">
        <v>1622909108100</v>
      </c>
      <c r="Q811">
        <v>361149073080</v>
      </c>
      <c r="R811">
        <v>1670895781050</v>
      </c>
      <c r="S811">
        <v>-43639848538.329697</v>
      </c>
      <c r="T811">
        <v>-0.73328000000000004</v>
      </c>
      <c r="U811">
        <f t="shared" si="84"/>
        <v>-0.71598511251009767</v>
      </c>
      <c r="V811">
        <f t="shared" si="85"/>
        <v>0.48994739031624335</v>
      </c>
      <c r="W811">
        <f t="shared" si="86"/>
        <v>-1.004797431960831</v>
      </c>
      <c r="X811">
        <f t="shared" si="87"/>
        <v>1</v>
      </c>
      <c r="Y811">
        <f t="shared" si="88"/>
        <v>1</v>
      </c>
      <c r="Z811">
        <f t="shared" si="89"/>
        <v>1</v>
      </c>
      <c r="AA811">
        <f t="shared" si="90"/>
        <v>1</v>
      </c>
    </row>
    <row r="812" spans="1:27" x14ac:dyDescent="0.35">
      <c r="A812" s="1">
        <v>0.16256825502126501</v>
      </c>
      <c r="B812" s="1">
        <v>-1.3717716418502299</v>
      </c>
      <c r="C812" s="1">
        <v>1.8433283971695E-2</v>
      </c>
      <c r="D812" s="1">
        <v>97.815550000000002</v>
      </c>
      <c r="E812" s="1">
        <v>45.952120000000001</v>
      </c>
      <c r="F812" s="1">
        <v>1.4785299999999999</v>
      </c>
      <c r="G812" s="1">
        <v>2.3540100000000002</v>
      </c>
      <c r="H812" s="1">
        <v>7.6622855009370994E-2</v>
      </c>
      <c r="I812" s="1">
        <v>0.20821000000000001</v>
      </c>
      <c r="J812" s="1">
        <v>-178550426000</v>
      </c>
      <c r="K812" s="1">
        <v>2357314242000</v>
      </c>
      <c r="L812">
        <v>11321558949000</v>
      </c>
      <c r="M812">
        <v>-12673949000</v>
      </c>
      <c r="N812">
        <v>517232588000</v>
      </c>
      <c r="O812">
        <v>10973958000</v>
      </c>
      <c r="P812">
        <v>5202496637000</v>
      </c>
      <c r="Q812">
        <v>4098302271000</v>
      </c>
      <c r="R812">
        <v>1740988029000</v>
      </c>
      <c r="S812">
        <v>124431479000</v>
      </c>
      <c r="T812">
        <v>-0.13872000000000001</v>
      </c>
      <c r="U812">
        <f t="shared" si="84"/>
        <v>0.26167203976791037</v>
      </c>
      <c r="V812">
        <f t="shared" si="85"/>
        <v>-1.6756748182191512</v>
      </c>
      <c r="W812">
        <f t="shared" si="86"/>
        <v>0.43798188213956007</v>
      </c>
      <c r="X812">
        <f t="shared" si="87"/>
        <v>1</v>
      </c>
      <c r="Y812">
        <f t="shared" si="88"/>
        <v>0</v>
      </c>
      <c r="Z812">
        <f t="shared" si="89"/>
        <v>0</v>
      </c>
      <c r="AA812">
        <f t="shared" si="90"/>
        <v>0</v>
      </c>
    </row>
    <row r="813" spans="1:27" x14ac:dyDescent="0.35">
      <c r="A813" s="1">
        <v>2.3332075872435301</v>
      </c>
      <c r="B813" s="1">
        <v>6.0257069541232804</v>
      </c>
      <c r="C813" s="1">
        <v>4.4363108662601999E-2</v>
      </c>
      <c r="D813" s="1">
        <v>39.362090000000002</v>
      </c>
      <c r="E813" s="1">
        <v>25.367619999999999</v>
      </c>
      <c r="F813" s="1">
        <v>2.1309</v>
      </c>
      <c r="G813" s="1">
        <v>0.77080000000000004</v>
      </c>
      <c r="H813" s="1">
        <v>0.35616472334045601</v>
      </c>
      <c r="I813" s="1">
        <v>-4.9669999999999999E-2</v>
      </c>
      <c r="J813" s="1">
        <v>451300640000</v>
      </c>
      <c r="K813" s="1">
        <v>-409062376000</v>
      </c>
      <c r="L813">
        <v>8235160500000</v>
      </c>
      <c r="M813">
        <v>297916996000</v>
      </c>
      <c r="N813">
        <v>3482706786000</v>
      </c>
      <c r="O813">
        <v>228149431000</v>
      </c>
      <c r="P813">
        <v>2089064596000</v>
      </c>
      <c r="Q813">
        <v>1375656721000</v>
      </c>
      <c r="R813">
        <v>1784719097000</v>
      </c>
      <c r="S813">
        <v>433798435000</v>
      </c>
      <c r="T813">
        <v>-0.11656999999999999</v>
      </c>
      <c r="U813">
        <f t="shared" si="84"/>
        <v>0.38988794693278939</v>
      </c>
      <c r="V813">
        <f t="shared" si="85"/>
        <v>-2.9756316022356675</v>
      </c>
      <c r="W813">
        <f t="shared" si="86"/>
        <v>0.15479376409676535</v>
      </c>
      <c r="X813">
        <f t="shared" si="87"/>
        <v>1</v>
      </c>
      <c r="Y813">
        <f t="shared" si="88"/>
        <v>0</v>
      </c>
      <c r="Z813">
        <f t="shared" si="89"/>
        <v>0</v>
      </c>
      <c r="AA813">
        <f t="shared" si="90"/>
        <v>0</v>
      </c>
    </row>
    <row r="814" spans="1:27" x14ac:dyDescent="0.35">
      <c r="A814" s="1">
        <v>-39.0466038120638</v>
      </c>
      <c r="B814" s="1">
        <v>-82.493873787045302</v>
      </c>
      <c r="C814" s="1">
        <v>2.5629982271372E-2</v>
      </c>
      <c r="D814" s="1">
        <v>123.53005</v>
      </c>
      <c r="E814" s="1">
        <v>46.903660000000002</v>
      </c>
      <c r="F814" s="1">
        <v>0.71408000000000005</v>
      </c>
      <c r="G814" s="1">
        <v>0.55025999999999997</v>
      </c>
      <c r="H814" s="1">
        <v>0.59298770932032296</v>
      </c>
      <c r="I814" s="1">
        <v>-0.11046</v>
      </c>
      <c r="J814" s="1">
        <v>327132507000</v>
      </c>
      <c r="K814" s="1">
        <v>-712001957000</v>
      </c>
      <c r="L814">
        <v>6445851840000</v>
      </c>
      <c r="M814">
        <v>-2812497981000</v>
      </c>
      <c r="N814">
        <v>4352829939000</v>
      </c>
      <c r="O814">
        <v>-2866218362000</v>
      </c>
      <c r="P814">
        <v>3023340313000</v>
      </c>
      <c r="Q814">
        <v>871146378000</v>
      </c>
      <c r="R814">
        <v>1583148335000</v>
      </c>
      <c r="S814">
        <v>188137043000</v>
      </c>
      <c r="T814">
        <v>-0.59758</v>
      </c>
      <c r="U814">
        <f t="shared" si="84"/>
        <v>-0.92655559664154219</v>
      </c>
      <c r="V814">
        <f t="shared" si="85"/>
        <v>0.37668367049303064</v>
      </c>
      <c r="W814">
        <f t="shared" si="86"/>
        <v>-3.3018238531216389E-2</v>
      </c>
      <c r="X814">
        <f t="shared" si="87"/>
        <v>1</v>
      </c>
      <c r="Y814">
        <f t="shared" si="88"/>
        <v>1</v>
      </c>
      <c r="Z814">
        <f t="shared" si="89"/>
        <v>1</v>
      </c>
      <c r="AA814">
        <f t="shared" si="90"/>
        <v>1</v>
      </c>
    </row>
    <row r="815" spans="1:27" x14ac:dyDescent="0.35">
      <c r="A815" s="1">
        <v>-18.79626008412</v>
      </c>
      <c r="B815" s="1">
        <v>-49.910336129415697</v>
      </c>
      <c r="C815" s="1">
        <v>-0.13821987829983101</v>
      </c>
      <c r="D815" s="1">
        <v>219.56010000000001</v>
      </c>
      <c r="E815" s="1">
        <v>53.684049999999999</v>
      </c>
      <c r="F815" s="1">
        <v>-2.4393600000000002</v>
      </c>
      <c r="G815" s="1">
        <v>0.38169999999999998</v>
      </c>
      <c r="H815" s="1">
        <v>0.59977440266840798</v>
      </c>
      <c r="I815" s="1">
        <v>-0.21081</v>
      </c>
      <c r="J815" s="1">
        <v>393493082000</v>
      </c>
      <c r="K815" s="1">
        <v>-1139248601000</v>
      </c>
      <c r="L815">
        <v>5404124315000</v>
      </c>
      <c r="M815">
        <v>-1165191440000</v>
      </c>
      <c r="N815">
        <v>3553656185000</v>
      </c>
      <c r="O815">
        <v>-1113676169000</v>
      </c>
      <c r="P815">
        <v>2901152638000</v>
      </c>
      <c r="Q815">
        <v>703287335000</v>
      </c>
      <c r="R815">
        <v>1842535936000</v>
      </c>
      <c r="S815">
        <v>-818951131000</v>
      </c>
      <c r="T815">
        <v>-0.86795999999999995</v>
      </c>
      <c r="U815">
        <f t="shared" si="84"/>
        <v>-0.83670980934894401</v>
      </c>
      <c r="V815">
        <f t="shared" si="85"/>
        <v>-0.31112734342477227</v>
      </c>
      <c r="W815">
        <f t="shared" si="86"/>
        <v>-0.809983878826259</v>
      </c>
      <c r="X815">
        <f t="shared" si="87"/>
        <v>1</v>
      </c>
      <c r="Y815">
        <f t="shared" si="88"/>
        <v>0</v>
      </c>
      <c r="Z815">
        <f t="shared" si="89"/>
        <v>1</v>
      </c>
      <c r="AA815">
        <f t="shared" si="90"/>
        <v>1</v>
      </c>
    </row>
    <row r="816" spans="1:27" x14ac:dyDescent="0.35">
      <c r="A816" s="1" t="s">
        <v>3</v>
      </c>
      <c r="B816" s="1" t="s">
        <v>3</v>
      </c>
      <c r="C816" s="1" t="s">
        <v>3</v>
      </c>
      <c r="D816" s="1" t="s">
        <v>3</v>
      </c>
      <c r="E816" s="1" t="s">
        <v>3</v>
      </c>
      <c r="F816" s="1" t="s">
        <v>3</v>
      </c>
      <c r="G816" s="1" t="s">
        <v>3</v>
      </c>
      <c r="H816" s="1" t="s">
        <v>3</v>
      </c>
      <c r="I816" s="1" t="s">
        <v>3</v>
      </c>
      <c r="J816" s="1" t="s">
        <v>3</v>
      </c>
      <c r="K816" s="1" t="s">
        <v>3</v>
      </c>
      <c r="L816" s="1" t="s">
        <v>3</v>
      </c>
      <c r="M816" s="1" t="s">
        <v>3</v>
      </c>
      <c r="N816" s="1" t="s">
        <v>3</v>
      </c>
      <c r="O816" s="1" t="s">
        <v>3</v>
      </c>
      <c r="P816" s="1" t="s">
        <v>3</v>
      </c>
      <c r="Q816" s="1" t="s">
        <v>3</v>
      </c>
      <c r="R816" s="1" t="s">
        <v>3</v>
      </c>
      <c r="S816" s="1" t="s">
        <v>3</v>
      </c>
      <c r="T816" s="1" t="s">
        <v>3</v>
      </c>
      <c r="U816" t="e">
        <f t="shared" si="84"/>
        <v>#VALUE!</v>
      </c>
      <c r="V816" t="e">
        <f t="shared" si="85"/>
        <v>#VALUE!</v>
      </c>
      <c r="W816" t="e">
        <f t="shared" si="86"/>
        <v>#VALUE!</v>
      </c>
      <c r="X816" t="e">
        <f t="shared" si="87"/>
        <v>#VALUE!</v>
      </c>
      <c r="Y816" t="e">
        <f t="shared" si="88"/>
        <v>#VALUE!</v>
      </c>
      <c r="Z816" t="e">
        <f t="shared" si="89"/>
        <v>#VALUE!</v>
      </c>
      <c r="AA816" t="e">
        <f t="shared" si="90"/>
        <v>#VALUE!</v>
      </c>
    </row>
    <row r="817" spans="1:27" x14ac:dyDescent="0.35">
      <c r="A817" s="1" t="s">
        <v>3</v>
      </c>
      <c r="B817" s="1" t="s">
        <v>3</v>
      </c>
      <c r="C817" s="1" t="s">
        <v>3</v>
      </c>
      <c r="D817" s="1" t="s">
        <v>3</v>
      </c>
      <c r="E817" s="1" t="s">
        <v>3</v>
      </c>
      <c r="F817" s="1" t="s">
        <v>3</v>
      </c>
      <c r="G817" s="1" t="s">
        <v>3</v>
      </c>
      <c r="H817" s="1" t="s">
        <v>3</v>
      </c>
      <c r="I817" s="1" t="s">
        <v>3</v>
      </c>
      <c r="J817" s="1" t="s">
        <v>3</v>
      </c>
      <c r="K817" s="1" t="s">
        <v>3</v>
      </c>
      <c r="L817" s="1" t="s">
        <v>3</v>
      </c>
      <c r="M817" s="1" t="s">
        <v>3</v>
      </c>
      <c r="N817" s="1" t="s">
        <v>3</v>
      </c>
      <c r="O817" s="1" t="s">
        <v>3</v>
      </c>
      <c r="P817" s="1" t="s">
        <v>3</v>
      </c>
      <c r="Q817" s="1" t="s">
        <v>3</v>
      </c>
      <c r="R817" s="1" t="s">
        <v>3</v>
      </c>
      <c r="S817" s="1" t="s">
        <v>3</v>
      </c>
      <c r="T817" s="1" t="s">
        <v>3</v>
      </c>
      <c r="U817" t="e">
        <f t="shared" si="84"/>
        <v>#VALUE!</v>
      </c>
      <c r="V817" t="e">
        <f t="shared" si="85"/>
        <v>#VALUE!</v>
      </c>
      <c r="W817" t="e">
        <f t="shared" si="86"/>
        <v>#VALUE!</v>
      </c>
      <c r="X817" t="e">
        <f t="shared" si="87"/>
        <v>#VALUE!</v>
      </c>
      <c r="Y817" t="e">
        <f t="shared" si="88"/>
        <v>#VALUE!</v>
      </c>
      <c r="Z817" t="e">
        <f t="shared" si="89"/>
        <v>#VALUE!</v>
      </c>
      <c r="AA817" t="e">
        <f t="shared" si="90"/>
        <v>#VALUE!</v>
      </c>
    </row>
    <row r="818" spans="1:27" x14ac:dyDescent="0.35">
      <c r="A818" s="1" t="s">
        <v>3</v>
      </c>
      <c r="B818" s="1" t="s">
        <v>3</v>
      </c>
      <c r="C818" s="1" t="s">
        <v>3</v>
      </c>
      <c r="D818" s="1" t="s">
        <v>3</v>
      </c>
      <c r="E818" s="1" t="s">
        <v>3</v>
      </c>
      <c r="F818" s="1" t="s">
        <v>3</v>
      </c>
      <c r="G818" s="1" t="s">
        <v>3</v>
      </c>
      <c r="H818" s="1" t="s">
        <v>3</v>
      </c>
      <c r="I818" s="1" t="s">
        <v>3</v>
      </c>
      <c r="J818" s="1" t="s">
        <v>3</v>
      </c>
      <c r="K818" s="1" t="s">
        <v>3</v>
      </c>
      <c r="L818" s="1" t="s">
        <v>3</v>
      </c>
      <c r="M818" s="1" t="s">
        <v>3</v>
      </c>
      <c r="N818" s="1" t="s">
        <v>3</v>
      </c>
      <c r="O818" s="1" t="s">
        <v>3</v>
      </c>
      <c r="P818" s="1" t="s">
        <v>3</v>
      </c>
      <c r="Q818" s="1" t="s">
        <v>3</v>
      </c>
      <c r="R818" s="1" t="s">
        <v>3</v>
      </c>
      <c r="S818" s="1" t="s">
        <v>3</v>
      </c>
      <c r="T818" s="1" t="s">
        <v>3</v>
      </c>
      <c r="U818" t="e">
        <f t="shared" si="84"/>
        <v>#VALUE!</v>
      </c>
      <c r="V818" t="e">
        <f t="shared" si="85"/>
        <v>#VALUE!</v>
      </c>
      <c r="W818" t="e">
        <f t="shared" si="86"/>
        <v>#VALUE!</v>
      </c>
      <c r="X818" t="e">
        <f t="shared" si="87"/>
        <v>#VALUE!</v>
      </c>
      <c r="Y818" t="e">
        <f t="shared" si="88"/>
        <v>#VALUE!</v>
      </c>
      <c r="Z818" t="e">
        <f t="shared" si="89"/>
        <v>#VALUE!</v>
      </c>
      <c r="AA818" t="e">
        <f t="shared" si="90"/>
        <v>#VALUE!</v>
      </c>
    </row>
    <row r="819" spans="1:27" x14ac:dyDescent="0.35">
      <c r="A819" s="1" t="s">
        <v>3</v>
      </c>
      <c r="B819" s="1" t="s">
        <v>3</v>
      </c>
      <c r="C819" s="1" t="s">
        <v>3</v>
      </c>
      <c r="D819" s="1" t="s">
        <v>3</v>
      </c>
      <c r="E819" s="1" t="s">
        <v>3</v>
      </c>
      <c r="F819" s="1" t="s">
        <v>3</v>
      </c>
      <c r="G819" s="1" t="s">
        <v>3</v>
      </c>
      <c r="H819" s="1" t="s">
        <v>3</v>
      </c>
      <c r="I819" s="1" t="s">
        <v>3</v>
      </c>
      <c r="J819" s="1" t="s">
        <v>3</v>
      </c>
      <c r="K819" s="1" t="s">
        <v>3</v>
      </c>
      <c r="L819" s="1" t="s">
        <v>3</v>
      </c>
      <c r="M819" s="1" t="s">
        <v>3</v>
      </c>
      <c r="N819" s="1" t="s">
        <v>3</v>
      </c>
      <c r="O819" s="1" t="s">
        <v>3</v>
      </c>
      <c r="P819" s="1" t="s">
        <v>3</v>
      </c>
      <c r="Q819" s="1" t="s">
        <v>3</v>
      </c>
      <c r="R819" s="1" t="s">
        <v>3</v>
      </c>
      <c r="S819" s="1" t="s">
        <v>3</v>
      </c>
      <c r="T819" s="1" t="s">
        <v>3</v>
      </c>
      <c r="U819" t="e">
        <f t="shared" si="84"/>
        <v>#VALUE!</v>
      </c>
      <c r="V819" t="e">
        <f t="shared" si="85"/>
        <v>#VALUE!</v>
      </c>
      <c r="W819" t="e">
        <f t="shared" si="86"/>
        <v>#VALUE!</v>
      </c>
      <c r="X819" t="e">
        <f t="shared" si="87"/>
        <v>#VALUE!</v>
      </c>
      <c r="Y819" t="e">
        <f t="shared" si="88"/>
        <v>#VALUE!</v>
      </c>
      <c r="Z819" t="e">
        <f t="shared" si="89"/>
        <v>#VALUE!</v>
      </c>
      <c r="AA819" t="e">
        <f t="shared" si="90"/>
        <v>#VALUE!</v>
      </c>
    </row>
    <row r="820" spans="1:27" x14ac:dyDescent="0.35">
      <c r="A820" s="1" t="s">
        <v>3</v>
      </c>
      <c r="B820" s="1" t="s">
        <v>3</v>
      </c>
      <c r="C820" s="1" t="s">
        <v>3</v>
      </c>
      <c r="D820" s="1" t="s">
        <v>3</v>
      </c>
      <c r="E820" s="1" t="s">
        <v>3</v>
      </c>
      <c r="F820" s="1" t="s">
        <v>3</v>
      </c>
      <c r="G820" s="1" t="s">
        <v>3</v>
      </c>
      <c r="H820" s="1" t="s">
        <v>3</v>
      </c>
      <c r="I820" s="1" t="s">
        <v>3</v>
      </c>
      <c r="J820" s="1" t="s">
        <v>3</v>
      </c>
      <c r="K820" s="1" t="s">
        <v>3</v>
      </c>
      <c r="L820" s="1" t="s">
        <v>3</v>
      </c>
      <c r="M820" s="1" t="s">
        <v>3</v>
      </c>
      <c r="N820" s="1" t="s">
        <v>3</v>
      </c>
      <c r="O820" s="1" t="s">
        <v>3</v>
      </c>
      <c r="P820" s="1" t="s">
        <v>3</v>
      </c>
      <c r="Q820" s="1" t="s">
        <v>3</v>
      </c>
      <c r="R820" s="1" t="s">
        <v>3</v>
      </c>
      <c r="S820" s="1" t="s">
        <v>3</v>
      </c>
      <c r="T820" s="1" t="s">
        <v>3</v>
      </c>
      <c r="U820" t="e">
        <f t="shared" si="84"/>
        <v>#VALUE!</v>
      </c>
      <c r="V820" t="e">
        <f t="shared" si="85"/>
        <v>#VALUE!</v>
      </c>
      <c r="W820" t="e">
        <f t="shared" si="86"/>
        <v>#VALUE!</v>
      </c>
      <c r="X820" t="e">
        <f t="shared" si="87"/>
        <v>#VALUE!</v>
      </c>
      <c r="Y820" t="e">
        <f t="shared" si="88"/>
        <v>#VALUE!</v>
      </c>
      <c r="Z820" t="e">
        <f t="shared" si="89"/>
        <v>#VALUE!</v>
      </c>
      <c r="AA820" t="e">
        <f t="shared" si="90"/>
        <v>#VALUE!</v>
      </c>
    </row>
    <row r="821" spans="1:27" x14ac:dyDescent="0.35">
      <c r="A821" s="1" t="s">
        <v>3</v>
      </c>
      <c r="B821" s="1" t="s">
        <v>3</v>
      </c>
      <c r="C821" s="1" t="s">
        <v>3</v>
      </c>
      <c r="D821" s="1" t="s">
        <v>3</v>
      </c>
      <c r="E821" s="1" t="s">
        <v>3</v>
      </c>
      <c r="F821" s="1" t="s">
        <v>3</v>
      </c>
      <c r="G821" s="1" t="s">
        <v>3</v>
      </c>
      <c r="H821" s="1" t="s">
        <v>3</v>
      </c>
      <c r="I821" s="1" t="s">
        <v>3</v>
      </c>
      <c r="J821" s="1" t="s">
        <v>3</v>
      </c>
      <c r="K821" s="1" t="s">
        <v>3</v>
      </c>
      <c r="L821" s="1" t="s">
        <v>3</v>
      </c>
      <c r="M821" s="1" t="s">
        <v>3</v>
      </c>
      <c r="N821" s="1" t="s">
        <v>3</v>
      </c>
      <c r="O821" s="1" t="s">
        <v>3</v>
      </c>
      <c r="P821" s="1" t="s">
        <v>3</v>
      </c>
      <c r="Q821" s="1" t="s">
        <v>3</v>
      </c>
      <c r="R821" s="1" t="s">
        <v>3</v>
      </c>
      <c r="S821" s="1" t="s">
        <v>3</v>
      </c>
      <c r="T821" s="1" t="s">
        <v>3</v>
      </c>
      <c r="U821" t="e">
        <f t="shared" si="84"/>
        <v>#VALUE!</v>
      </c>
      <c r="V821" t="e">
        <f t="shared" si="85"/>
        <v>#VALUE!</v>
      </c>
      <c r="W821" t="e">
        <f t="shared" si="86"/>
        <v>#VALUE!</v>
      </c>
      <c r="X821" t="e">
        <f t="shared" si="87"/>
        <v>#VALUE!</v>
      </c>
      <c r="Y821" t="e">
        <f t="shared" si="88"/>
        <v>#VALUE!</v>
      </c>
      <c r="Z821" t="e">
        <f t="shared" si="89"/>
        <v>#VALUE!</v>
      </c>
      <c r="AA821" t="e">
        <f t="shared" si="90"/>
        <v>#VALUE!</v>
      </c>
    </row>
    <row r="822" spans="1:27" x14ac:dyDescent="0.35">
      <c r="A822" s="1" t="s">
        <v>3</v>
      </c>
      <c r="B822" s="1" t="s">
        <v>3</v>
      </c>
      <c r="C822" s="1" t="s">
        <v>3</v>
      </c>
      <c r="D822" s="1" t="s">
        <v>3</v>
      </c>
      <c r="E822" s="1" t="s">
        <v>3</v>
      </c>
      <c r="F822" s="1" t="s">
        <v>3</v>
      </c>
      <c r="G822" s="1" t="s">
        <v>3</v>
      </c>
      <c r="H822" s="1" t="s">
        <v>3</v>
      </c>
      <c r="I822" s="1" t="s">
        <v>3</v>
      </c>
      <c r="J822" s="1" t="s">
        <v>3</v>
      </c>
      <c r="K822" s="1" t="s">
        <v>3</v>
      </c>
      <c r="L822" s="1" t="s">
        <v>3</v>
      </c>
      <c r="M822" s="1" t="s">
        <v>3</v>
      </c>
      <c r="N822" s="1" t="s">
        <v>3</v>
      </c>
      <c r="O822" s="1" t="s">
        <v>3</v>
      </c>
      <c r="P822" s="1" t="s">
        <v>3</v>
      </c>
      <c r="Q822" s="1" t="s">
        <v>3</v>
      </c>
      <c r="R822" s="1" t="s">
        <v>3</v>
      </c>
      <c r="S822" s="1" t="s">
        <v>3</v>
      </c>
      <c r="T822" s="1" t="s">
        <v>3</v>
      </c>
      <c r="U822" t="e">
        <f t="shared" si="84"/>
        <v>#VALUE!</v>
      </c>
      <c r="V822" t="e">
        <f t="shared" si="85"/>
        <v>#VALUE!</v>
      </c>
      <c r="W822" t="e">
        <f t="shared" si="86"/>
        <v>#VALUE!</v>
      </c>
      <c r="X822" t="e">
        <f t="shared" si="87"/>
        <v>#VALUE!</v>
      </c>
      <c r="Y822" t="e">
        <f t="shared" si="88"/>
        <v>#VALUE!</v>
      </c>
      <c r="Z822" t="e">
        <f t="shared" si="89"/>
        <v>#VALUE!</v>
      </c>
      <c r="AA822" t="e">
        <f t="shared" si="90"/>
        <v>#VALUE!</v>
      </c>
    </row>
    <row r="823" spans="1:27" x14ac:dyDescent="0.35">
      <c r="A823" s="1" t="s">
        <v>3</v>
      </c>
      <c r="B823" s="1" t="s">
        <v>3</v>
      </c>
      <c r="C823" s="1" t="s">
        <v>3</v>
      </c>
      <c r="D823" s="1" t="s">
        <v>3</v>
      </c>
      <c r="E823" s="1" t="s">
        <v>3</v>
      </c>
      <c r="F823" s="1" t="s">
        <v>3</v>
      </c>
      <c r="G823" s="1" t="s">
        <v>3</v>
      </c>
      <c r="H823" s="1" t="s">
        <v>3</v>
      </c>
      <c r="I823" s="1" t="s">
        <v>3</v>
      </c>
      <c r="J823" s="1" t="s">
        <v>3</v>
      </c>
      <c r="K823" s="1" t="s">
        <v>3</v>
      </c>
      <c r="L823" s="1" t="s">
        <v>3</v>
      </c>
      <c r="M823" s="1" t="s">
        <v>3</v>
      </c>
      <c r="N823" s="1" t="s">
        <v>3</v>
      </c>
      <c r="O823" s="1" t="s">
        <v>3</v>
      </c>
      <c r="P823" s="1" t="s">
        <v>3</v>
      </c>
      <c r="Q823" s="1" t="s">
        <v>3</v>
      </c>
      <c r="R823" s="1" t="s">
        <v>3</v>
      </c>
      <c r="S823" s="1" t="s">
        <v>3</v>
      </c>
      <c r="T823" s="1" t="s">
        <v>3</v>
      </c>
      <c r="U823" t="e">
        <f t="shared" si="84"/>
        <v>#VALUE!</v>
      </c>
      <c r="V823" t="e">
        <f t="shared" si="85"/>
        <v>#VALUE!</v>
      </c>
      <c r="W823" t="e">
        <f t="shared" si="86"/>
        <v>#VALUE!</v>
      </c>
      <c r="X823" t="e">
        <f t="shared" si="87"/>
        <v>#VALUE!</v>
      </c>
      <c r="Y823" t="e">
        <f t="shared" si="88"/>
        <v>#VALUE!</v>
      </c>
      <c r="Z823" t="e">
        <f t="shared" si="89"/>
        <v>#VALUE!</v>
      </c>
      <c r="AA823" t="e">
        <f t="shared" si="90"/>
        <v>#VALUE!</v>
      </c>
    </row>
    <row r="824" spans="1:27" x14ac:dyDescent="0.35">
      <c r="A824" s="1" t="s">
        <v>3</v>
      </c>
      <c r="B824" s="1" t="s">
        <v>3</v>
      </c>
      <c r="C824" s="1" t="s">
        <v>3</v>
      </c>
      <c r="D824" s="1" t="s">
        <v>3</v>
      </c>
      <c r="E824" s="1" t="s">
        <v>3</v>
      </c>
      <c r="F824" s="1" t="s">
        <v>3</v>
      </c>
      <c r="G824" s="1" t="s">
        <v>3</v>
      </c>
      <c r="H824" s="1" t="s">
        <v>3</v>
      </c>
      <c r="I824" s="1" t="s">
        <v>3</v>
      </c>
      <c r="J824" s="1" t="s">
        <v>3</v>
      </c>
      <c r="K824" s="1" t="s">
        <v>3</v>
      </c>
      <c r="L824" s="1" t="s">
        <v>3</v>
      </c>
      <c r="M824" s="1" t="s">
        <v>3</v>
      </c>
      <c r="N824" s="1" t="s">
        <v>3</v>
      </c>
      <c r="O824" s="1" t="s">
        <v>3</v>
      </c>
      <c r="P824" s="1" t="s">
        <v>3</v>
      </c>
      <c r="Q824" s="1" t="s">
        <v>3</v>
      </c>
      <c r="R824" s="1" t="s">
        <v>3</v>
      </c>
      <c r="S824" s="1" t="s">
        <v>3</v>
      </c>
      <c r="T824" s="1" t="s">
        <v>3</v>
      </c>
      <c r="U824" t="e">
        <f t="shared" si="84"/>
        <v>#VALUE!</v>
      </c>
      <c r="V824" t="e">
        <f t="shared" si="85"/>
        <v>#VALUE!</v>
      </c>
      <c r="W824" t="e">
        <f t="shared" si="86"/>
        <v>#VALUE!</v>
      </c>
      <c r="X824" t="e">
        <f t="shared" si="87"/>
        <v>#VALUE!</v>
      </c>
      <c r="Y824" t="e">
        <f t="shared" si="88"/>
        <v>#VALUE!</v>
      </c>
      <c r="Z824" t="e">
        <f t="shared" si="89"/>
        <v>#VALUE!</v>
      </c>
      <c r="AA824" t="e">
        <f t="shared" si="90"/>
        <v>#VALUE!</v>
      </c>
    </row>
    <row r="825" spans="1:27" x14ac:dyDescent="0.35">
      <c r="A825" s="1" t="s">
        <v>3</v>
      </c>
      <c r="B825" s="1" t="s">
        <v>3</v>
      </c>
      <c r="C825" s="1" t="s">
        <v>3</v>
      </c>
      <c r="D825" s="1" t="s">
        <v>3</v>
      </c>
      <c r="E825" s="1" t="s">
        <v>3</v>
      </c>
      <c r="F825" s="1" t="s">
        <v>3</v>
      </c>
      <c r="G825" s="1" t="s">
        <v>3</v>
      </c>
      <c r="H825" s="1" t="s">
        <v>3</v>
      </c>
      <c r="I825" s="1" t="s">
        <v>3</v>
      </c>
      <c r="J825" s="1" t="s">
        <v>3</v>
      </c>
      <c r="K825" s="1" t="s">
        <v>3</v>
      </c>
      <c r="L825" s="1" t="s">
        <v>3</v>
      </c>
      <c r="M825" s="1" t="s">
        <v>3</v>
      </c>
      <c r="N825" s="1" t="s">
        <v>3</v>
      </c>
      <c r="O825" s="1" t="s">
        <v>3</v>
      </c>
      <c r="P825" s="1" t="s">
        <v>3</v>
      </c>
      <c r="Q825" s="1" t="s">
        <v>3</v>
      </c>
      <c r="R825" s="1" t="s">
        <v>3</v>
      </c>
      <c r="S825" s="1" t="s">
        <v>3</v>
      </c>
      <c r="T825" s="1" t="s">
        <v>3</v>
      </c>
      <c r="U825" t="e">
        <f t="shared" si="84"/>
        <v>#VALUE!</v>
      </c>
      <c r="V825" t="e">
        <f t="shared" si="85"/>
        <v>#VALUE!</v>
      </c>
      <c r="W825" t="e">
        <f t="shared" si="86"/>
        <v>#VALUE!</v>
      </c>
      <c r="X825" t="e">
        <f t="shared" si="87"/>
        <v>#VALUE!</v>
      </c>
      <c r="Y825" t="e">
        <f t="shared" si="88"/>
        <v>#VALUE!</v>
      </c>
      <c r="Z825" t="e">
        <f t="shared" si="89"/>
        <v>#VALUE!</v>
      </c>
      <c r="AA825" t="e">
        <f t="shared" si="90"/>
        <v>#VALUE!</v>
      </c>
    </row>
    <row r="826" spans="1:27" x14ac:dyDescent="0.35">
      <c r="A826" s="1" t="s">
        <v>3</v>
      </c>
      <c r="B826" s="1" t="s">
        <v>3</v>
      </c>
      <c r="C826" s="1" t="s">
        <v>3</v>
      </c>
      <c r="D826" s="1" t="s">
        <v>3</v>
      </c>
      <c r="E826" s="1" t="s">
        <v>3</v>
      </c>
      <c r="F826" s="1" t="s">
        <v>3</v>
      </c>
      <c r="G826" s="1" t="s">
        <v>3</v>
      </c>
      <c r="H826" s="1" t="s">
        <v>3</v>
      </c>
      <c r="I826" s="1" t="s">
        <v>3</v>
      </c>
      <c r="J826" s="1" t="s">
        <v>3</v>
      </c>
      <c r="K826" s="1" t="s">
        <v>3</v>
      </c>
      <c r="L826" s="1" t="s">
        <v>3</v>
      </c>
      <c r="M826" s="1" t="s">
        <v>3</v>
      </c>
      <c r="N826" s="1" t="s">
        <v>3</v>
      </c>
      <c r="O826" s="1" t="s">
        <v>3</v>
      </c>
      <c r="P826" s="1" t="s">
        <v>3</v>
      </c>
      <c r="Q826" s="1" t="s">
        <v>3</v>
      </c>
      <c r="R826" s="1" t="s">
        <v>3</v>
      </c>
      <c r="S826" s="1" t="s">
        <v>3</v>
      </c>
      <c r="T826" s="1" t="s">
        <v>3</v>
      </c>
      <c r="U826" t="e">
        <f t="shared" si="84"/>
        <v>#VALUE!</v>
      </c>
      <c r="V826" t="e">
        <f t="shared" si="85"/>
        <v>#VALUE!</v>
      </c>
      <c r="W826" t="e">
        <f t="shared" si="86"/>
        <v>#VALUE!</v>
      </c>
      <c r="X826" t="e">
        <f t="shared" si="87"/>
        <v>#VALUE!</v>
      </c>
      <c r="Y826" t="e">
        <f t="shared" si="88"/>
        <v>#VALUE!</v>
      </c>
      <c r="Z826" t="e">
        <f t="shared" si="89"/>
        <v>#VALUE!</v>
      </c>
      <c r="AA826" t="e">
        <f t="shared" si="90"/>
        <v>#VALUE!</v>
      </c>
    </row>
    <row r="827" spans="1:27" x14ac:dyDescent="0.35">
      <c r="A827" s="1" t="s">
        <v>3</v>
      </c>
      <c r="B827" s="1" t="s">
        <v>3</v>
      </c>
      <c r="C827" s="1" t="s">
        <v>3</v>
      </c>
      <c r="D827" s="1" t="s">
        <v>3</v>
      </c>
      <c r="E827" s="1" t="s">
        <v>3</v>
      </c>
      <c r="F827" s="1" t="s">
        <v>3</v>
      </c>
      <c r="G827" s="1" t="s">
        <v>3</v>
      </c>
      <c r="H827" s="1" t="s">
        <v>3</v>
      </c>
      <c r="I827" s="1" t="s">
        <v>3</v>
      </c>
      <c r="J827" s="1" t="s">
        <v>3</v>
      </c>
      <c r="K827" s="1" t="s">
        <v>3</v>
      </c>
      <c r="L827" s="1" t="s">
        <v>3</v>
      </c>
      <c r="M827" s="1" t="s">
        <v>3</v>
      </c>
      <c r="N827" s="1" t="s">
        <v>3</v>
      </c>
      <c r="O827" s="1" t="s">
        <v>3</v>
      </c>
      <c r="P827" s="1" t="s">
        <v>3</v>
      </c>
      <c r="Q827" s="1" t="s">
        <v>3</v>
      </c>
      <c r="R827" s="1" t="s">
        <v>3</v>
      </c>
      <c r="S827" s="1" t="s">
        <v>3</v>
      </c>
      <c r="T827" s="1" t="s">
        <v>3</v>
      </c>
      <c r="U827" t="e">
        <f t="shared" si="84"/>
        <v>#VALUE!</v>
      </c>
      <c r="V827" t="e">
        <f t="shared" si="85"/>
        <v>#VALUE!</v>
      </c>
      <c r="W827" t="e">
        <f t="shared" si="86"/>
        <v>#VALUE!</v>
      </c>
      <c r="X827" t="e">
        <f t="shared" si="87"/>
        <v>#VALUE!</v>
      </c>
      <c r="Y827" t="e">
        <f t="shared" si="88"/>
        <v>#VALUE!</v>
      </c>
      <c r="Z827" t="e">
        <f t="shared" si="89"/>
        <v>#VALUE!</v>
      </c>
      <c r="AA827" t="e">
        <f t="shared" si="90"/>
        <v>#VALUE!</v>
      </c>
    </row>
    <row r="828" spans="1:27" x14ac:dyDescent="0.35">
      <c r="A828" s="1" t="s">
        <v>3</v>
      </c>
      <c r="B828" s="1" t="s">
        <v>3</v>
      </c>
      <c r="C828" s="1" t="s">
        <v>3</v>
      </c>
      <c r="D828" s="1" t="s">
        <v>3</v>
      </c>
      <c r="E828" s="1" t="s">
        <v>3</v>
      </c>
      <c r="F828" s="1" t="s">
        <v>3</v>
      </c>
      <c r="G828" s="1" t="s">
        <v>3</v>
      </c>
      <c r="H828" s="1" t="s">
        <v>3</v>
      </c>
      <c r="I828" s="1" t="s">
        <v>3</v>
      </c>
      <c r="J828" s="1" t="s">
        <v>3</v>
      </c>
      <c r="K828" s="1" t="s">
        <v>3</v>
      </c>
      <c r="L828" s="1" t="s">
        <v>3</v>
      </c>
      <c r="M828" s="1" t="s">
        <v>3</v>
      </c>
      <c r="N828" s="1" t="s">
        <v>3</v>
      </c>
      <c r="O828" s="1" t="s">
        <v>3</v>
      </c>
      <c r="P828" s="1" t="s">
        <v>3</v>
      </c>
      <c r="Q828" s="1" t="s">
        <v>3</v>
      </c>
      <c r="R828" s="1" t="s">
        <v>3</v>
      </c>
      <c r="S828" s="1" t="s">
        <v>3</v>
      </c>
      <c r="T828" s="1" t="s">
        <v>3</v>
      </c>
      <c r="U828" t="e">
        <f t="shared" si="84"/>
        <v>#VALUE!</v>
      </c>
      <c r="V828" t="e">
        <f t="shared" si="85"/>
        <v>#VALUE!</v>
      </c>
      <c r="W828" t="e">
        <f t="shared" si="86"/>
        <v>#VALUE!</v>
      </c>
      <c r="X828" t="e">
        <f t="shared" si="87"/>
        <v>#VALUE!</v>
      </c>
      <c r="Y828" t="e">
        <f t="shared" si="88"/>
        <v>#VALUE!</v>
      </c>
      <c r="Z828" t="e">
        <f t="shared" si="89"/>
        <v>#VALUE!</v>
      </c>
      <c r="AA828" t="e">
        <f t="shared" si="90"/>
        <v>#VALUE!</v>
      </c>
    </row>
    <row r="829" spans="1:27" x14ac:dyDescent="0.35">
      <c r="A829" s="1" t="s">
        <v>3</v>
      </c>
      <c r="B829" s="1" t="s">
        <v>3</v>
      </c>
      <c r="C829" s="1" t="s">
        <v>3</v>
      </c>
      <c r="D829" s="1" t="s">
        <v>3</v>
      </c>
      <c r="E829" s="1" t="s">
        <v>3</v>
      </c>
      <c r="F829" s="1" t="s">
        <v>3</v>
      </c>
      <c r="G829" s="1" t="s">
        <v>3</v>
      </c>
      <c r="H829" s="1" t="s">
        <v>3</v>
      </c>
      <c r="I829" s="1" t="s">
        <v>3</v>
      </c>
      <c r="J829" s="1" t="s">
        <v>3</v>
      </c>
      <c r="K829" s="1" t="s">
        <v>3</v>
      </c>
      <c r="L829" s="1" t="s">
        <v>3</v>
      </c>
      <c r="M829" s="1" t="s">
        <v>3</v>
      </c>
      <c r="N829" s="1" t="s">
        <v>3</v>
      </c>
      <c r="O829" s="1" t="s">
        <v>3</v>
      </c>
      <c r="P829" s="1" t="s">
        <v>3</v>
      </c>
      <c r="Q829" s="1" t="s">
        <v>3</v>
      </c>
      <c r="R829" s="1" t="s">
        <v>3</v>
      </c>
      <c r="S829" s="1" t="s">
        <v>3</v>
      </c>
      <c r="T829" s="1" t="s">
        <v>3</v>
      </c>
      <c r="U829" t="e">
        <f t="shared" si="84"/>
        <v>#VALUE!</v>
      </c>
      <c r="V829" t="e">
        <f t="shared" si="85"/>
        <v>#VALUE!</v>
      </c>
      <c r="W829" t="e">
        <f t="shared" si="86"/>
        <v>#VALUE!</v>
      </c>
      <c r="X829" t="e">
        <f t="shared" si="87"/>
        <v>#VALUE!</v>
      </c>
      <c r="Y829" t="e">
        <f t="shared" si="88"/>
        <v>#VALUE!</v>
      </c>
      <c r="Z829" t="e">
        <f t="shared" si="89"/>
        <v>#VALUE!</v>
      </c>
      <c r="AA829" t="e">
        <f t="shared" si="90"/>
        <v>#VALUE!</v>
      </c>
    </row>
    <row r="830" spans="1:27" x14ac:dyDescent="0.35">
      <c r="A830" s="1" t="s">
        <v>3</v>
      </c>
      <c r="B830" s="1" t="s">
        <v>3</v>
      </c>
      <c r="C830" s="1" t="s">
        <v>3</v>
      </c>
      <c r="D830" s="1" t="s">
        <v>3</v>
      </c>
      <c r="E830" s="1" t="s">
        <v>3</v>
      </c>
      <c r="F830" s="1" t="s">
        <v>3</v>
      </c>
      <c r="G830" s="1" t="s">
        <v>3</v>
      </c>
      <c r="H830" s="1" t="s">
        <v>3</v>
      </c>
      <c r="I830" s="1" t="s">
        <v>3</v>
      </c>
      <c r="J830" s="1" t="s">
        <v>3</v>
      </c>
      <c r="K830" s="1" t="s">
        <v>3</v>
      </c>
      <c r="L830" s="1" t="s">
        <v>3</v>
      </c>
      <c r="M830" s="1" t="s">
        <v>3</v>
      </c>
      <c r="N830" s="1" t="s">
        <v>3</v>
      </c>
      <c r="O830" s="1" t="s">
        <v>3</v>
      </c>
      <c r="P830" s="1" t="s">
        <v>3</v>
      </c>
      <c r="Q830" s="1" t="s">
        <v>3</v>
      </c>
      <c r="R830" s="1" t="s">
        <v>3</v>
      </c>
      <c r="S830" s="1" t="s">
        <v>3</v>
      </c>
      <c r="T830" s="1" t="s">
        <v>3</v>
      </c>
      <c r="U830" t="e">
        <f t="shared" si="84"/>
        <v>#VALUE!</v>
      </c>
      <c r="V830" t="e">
        <f t="shared" si="85"/>
        <v>#VALUE!</v>
      </c>
      <c r="W830" t="e">
        <f t="shared" si="86"/>
        <v>#VALUE!</v>
      </c>
      <c r="X830" t="e">
        <f t="shared" si="87"/>
        <v>#VALUE!</v>
      </c>
      <c r="Y830" t="e">
        <f t="shared" si="88"/>
        <v>#VALUE!</v>
      </c>
      <c r="Z830" t="e">
        <f t="shared" si="89"/>
        <v>#VALUE!</v>
      </c>
      <c r="AA830" t="e">
        <f t="shared" si="90"/>
        <v>#VALUE!</v>
      </c>
    </row>
    <row r="831" spans="1:27" x14ac:dyDescent="0.35">
      <c r="A831" s="1" t="s">
        <v>3</v>
      </c>
      <c r="B831" s="1" t="s">
        <v>3</v>
      </c>
      <c r="C831" s="1" t="s">
        <v>3</v>
      </c>
      <c r="D831" s="1">
        <v>57.185549999999999</v>
      </c>
      <c r="E831" s="1">
        <v>17.566210000000002</v>
      </c>
      <c r="F831" s="1">
        <v>18.555720000000001</v>
      </c>
      <c r="G831" s="1">
        <v>0.41266000000000003</v>
      </c>
      <c r="H831" s="1" t="s">
        <v>3</v>
      </c>
      <c r="I831" s="1">
        <v>-0.32973000000000002</v>
      </c>
      <c r="J831" s="1">
        <v>-686135441847</v>
      </c>
      <c r="K831" s="1">
        <v>-1428516212652</v>
      </c>
      <c r="L831">
        <v>4332409010247</v>
      </c>
      <c r="M831">
        <v>345550212095</v>
      </c>
      <c r="N831">
        <v>2644319999853</v>
      </c>
      <c r="O831">
        <v>334369585006</v>
      </c>
      <c r="P831">
        <v>761040247964</v>
      </c>
      <c r="Q831">
        <v>1003665018451</v>
      </c>
      <c r="R831">
        <v>2432181231103</v>
      </c>
      <c r="S831">
        <v>363354622315</v>
      </c>
      <c r="T831">
        <v>0.10956</v>
      </c>
      <c r="U831">
        <f t="shared" si="84"/>
        <v>0.25577006673603153</v>
      </c>
      <c r="V831">
        <f t="shared" si="85"/>
        <v>-3.6443791826490042</v>
      </c>
      <c r="W831">
        <f t="shared" si="86"/>
        <v>-0.20032628210277967</v>
      </c>
      <c r="X831">
        <f t="shared" si="87"/>
        <v>1</v>
      </c>
      <c r="Y831">
        <f t="shared" si="88"/>
        <v>0</v>
      </c>
      <c r="Z831">
        <f t="shared" si="89"/>
        <v>1</v>
      </c>
      <c r="AA831">
        <f t="shared" si="90"/>
        <v>1</v>
      </c>
    </row>
    <row r="832" spans="1:27" x14ac:dyDescent="0.35">
      <c r="A832" s="1">
        <v>7.02751859260401</v>
      </c>
      <c r="B832" s="1">
        <v>14.532869688747301</v>
      </c>
      <c r="C832" s="1">
        <v>0.105503619707426</v>
      </c>
      <c r="D832" s="1">
        <v>45.317459999999997</v>
      </c>
      <c r="E832" s="1">
        <v>24.435120000000001</v>
      </c>
      <c r="F832" s="1">
        <v>21.106829999999999</v>
      </c>
      <c r="G832" s="1">
        <v>1.70627</v>
      </c>
      <c r="H832" s="1">
        <v>0.52219345079485302</v>
      </c>
      <c r="I832" s="1">
        <v>0.24510000000000001</v>
      </c>
      <c r="J832" s="1">
        <v>-3034905406375</v>
      </c>
      <c r="K832" s="1">
        <v>3366303365577</v>
      </c>
      <c r="L832">
        <v>13734267485212</v>
      </c>
      <c r="M832">
        <v>967344550016</v>
      </c>
      <c r="N832">
        <v>4717150071779</v>
      </c>
      <c r="O832">
        <v>634819524892</v>
      </c>
      <c r="P832">
        <v>3355985006613</v>
      </c>
      <c r="Q832">
        <v>8132620689686</v>
      </c>
      <c r="R832">
        <v>4766317324109</v>
      </c>
      <c r="S832">
        <v>953049883177</v>
      </c>
      <c r="T832">
        <v>5.3170000000000002E-2</v>
      </c>
      <c r="U832">
        <f t="shared" si="84"/>
        <v>0.73682258369947939</v>
      </c>
      <c r="V832">
        <f t="shared" si="85"/>
        <v>-3.1083700767826841</v>
      </c>
      <c r="W832">
        <f t="shared" si="86"/>
        <v>0.69836944161160397</v>
      </c>
      <c r="X832">
        <f t="shared" si="87"/>
        <v>1</v>
      </c>
      <c r="Y832">
        <f t="shared" si="88"/>
        <v>0</v>
      </c>
      <c r="Z832">
        <f t="shared" si="89"/>
        <v>0</v>
      </c>
      <c r="AA832">
        <f t="shared" si="90"/>
        <v>0</v>
      </c>
    </row>
    <row r="833" spans="1:27" x14ac:dyDescent="0.35">
      <c r="A833" s="1">
        <v>6.9821774870078102</v>
      </c>
      <c r="B833" s="1">
        <v>13.589450805546299</v>
      </c>
      <c r="C833" s="1">
        <v>0.107048683390052</v>
      </c>
      <c r="D833" s="1">
        <v>68.173330000000007</v>
      </c>
      <c r="E833" s="1">
        <v>33.432699999999997</v>
      </c>
      <c r="F833" s="1">
        <v>3.3181500000000002</v>
      </c>
      <c r="G833" s="1">
        <v>1.52434</v>
      </c>
      <c r="H833" s="1">
        <v>0.49586120479151702</v>
      </c>
      <c r="I833" s="1">
        <v>0.26687</v>
      </c>
      <c r="J833" s="1">
        <v>-2413798672493</v>
      </c>
      <c r="K833" s="1">
        <v>3981513292134</v>
      </c>
      <c r="L833">
        <v>14919548673755</v>
      </c>
      <c r="M833">
        <v>1156234012013</v>
      </c>
      <c r="N833">
        <v>7104157901230</v>
      </c>
      <c r="O833">
        <v>1000330150510</v>
      </c>
      <c r="P833">
        <v>4988008430010</v>
      </c>
      <c r="Q833">
        <v>11574944658940</v>
      </c>
      <c r="R833">
        <v>7593431366806</v>
      </c>
      <c r="S833">
        <v>1533676646959</v>
      </c>
      <c r="T833">
        <v>9.4799999999999995E-2</v>
      </c>
      <c r="U833">
        <f t="shared" si="84"/>
        <v>0.88141901422589364</v>
      </c>
      <c r="V833">
        <f t="shared" si="85"/>
        <v>-2.6899558525542941</v>
      </c>
      <c r="W833">
        <f t="shared" si="86"/>
        <v>0.84832001770575616</v>
      </c>
      <c r="X833">
        <f t="shared" si="87"/>
        <v>0</v>
      </c>
      <c r="Y833">
        <f t="shared" si="88"/>
        <v>0</v>
      </c>
      <c r="Z833">
        <f t="shared" si="89"/>
        <v>0</v>
      </c>
      <c r="AA833">
        <f t="shared" si="90"/>
        <v>0</v>
      </c>
    </row>
    <row r="834" spans="1:27" x14ac:dyDescent="0.35">
      <c r="A834" s="1">
        <v>7.3218438385890403</v>
      </c>
      <c r="B834" s="1">
        <v>14.520363424511</v>
      </c>
      <c r="C834" s="1">
        <v>0.109468908135976</v>
      </c>
      <c r="D834" s="1">
        <v>69.308319999999995</v>
      </c>
      <c r="E834" s="1">
        <v>35.888579999999997</v>
      </c>
      <c r="F834" s="1">
        <v>4.9734299999999996</v>
      </c>
      <c r="G834" s="1">
        <v>1.39699</v>
      </c>
      <c r="H834" s="1">
        <v>0.53083180112622497</v>
      </c>
      <c r="I834" s="1">
        <v>0.19109000000000001</v>
      </c>
      <c r="J834" s="1">
        <v>1818103331586</v>
      </c>
      <c r="K834" s="1">
        <v>2908869555825</v>
      </c>
      <c r="L834">
        <v>15222388589814</v>
      </c>
      <c r="M834">
        <v>1394135562171</v>
      </c>
      <c r="N834">
        <v>8000149423527</v>
      </c>
      <c r="O834">
        <v>1103472788182</v>
      </c>
      <c r="P834">
        <v>5463099210444</v>
      </c>
      <c r="Q834">
        <v>10236132156003</v>
      </c>
      <c r="R834">
        <v>7327262600178</v>
      </c>
      <c r="S834">
        <v>1649802480673</v>
      </c>
      <c r="T834">
        <v>0.1163</v>
      </c>
      <c r="U834">
        <f t="shared" ref="U834:U841" si="91">1.03*(K834/L834) + 3.07*(S834/L834) + 0.66*(M834/R834) +0.4*(N834/L834)</f>
        <v>0.8653476419603966</v>
      </c>
      <c r="V834">
        <f t="shared" ref="V834:V841" si="92">-4.3-4.5*(O834/L834)+5.7*(P834/L834)+0.004*(Q834/R834)</f>
        <v>-2.5749684742967753</v>
      </c>
      <c r="W834">
        <f t="shared" ref="W834:W841" si="93">0.057+1.65*(K834/L834)+3.404*(S834/L834)+0.016*(O834/L834)</f>
        <v>0.74238639086604319</v>
      </c>
      <c r="X834">
        <f t="shared" si="87"/>
        <v>0</v>
      </c>
      <c r="Y834">
        <f t="shared" si="88"/>
        <v>0</v>
      </c>
      <c r="Z834">
        <f t="shared" si="89"/>
        <v>0</v>
      </c>
      <c r="AA834">
        <f t="shared" si="90"/>
        <v>0</v>
      </c>
    </row>
    <row r="835" spans="1:27" x14ac:dyDescent="0.35">
      <c r="A835" s="1">
        <v>5.13936846445303</v>
      </c>
      <c r="B835" s="1">
        <v>10.0662497247773</v>
      </c>
      <c r="C835" s="1">
        <v>8.2176173289392002E-2</v>
      </c>
      <c r="D835" s="1">
        <v>74.759860000000003</v>
      </c>
      <c r="E835" s="1">
        <v>37.657640000000001</v>
      </c>
      <c r="F835" s="1">
        <v>4.1255100000000002</v>
      </c>
      <c r="G835" s="1">
        <v>1.6213200000000001</v>
      </c>
      <c r="H835" s="1">
        <v>0.47604822663124102</v>
      </c>
      <c r="I835" s="1">
        <v>0.23007</v>
      </c>
      <c r="J835" s="1">
        <v>26265454496</v>
      </c>
      <c r="K835" s="1">
        <v>3715438458201</v>
      </c>
      <c r="L835">
        <v>16149121684330</v>
      </c>
      <c r="M835">
        <v>988412866883</v>
      </c>
      <c r="N835">
        <v>7467175916375</v>
      </c>
      <c r="O835">
        <v>806148752926</v>
      </c>
      <c r="P835">
        <v>6081378518060</v>
      </c>
      <c r="Q835">
        <v>9695354716598</v>
      </c>
      <c r="R835">
        <v>5979916258397</v>
      </c>
      <c r="S835">
        <v>1288995332319</v>
      </c>
      <c r="T835">
        <v>0.12525</v>
      </c>
      <c r="U835">
        <f t="shared" si="91"/>
        <v>0.77606106601005609</v>
      </c>
      <c r="V835">
        <f t="shared" si="92"/>
        <v>-2.3716648053213842</v>
      </c>
      <c r="W835">
        <f t="shared" si="93"/>
        <v>0.70911670040922481</v>
      </c>
      <c r="X835">
        <f t="shared" ref="X835:X841" si="94">IF(U835&gt;=0.862,0,1)</f>
        <v>1</v>
      </c>
      <c r="Y835">
        <f t="shared" ref="Y835:Y841" si="95">IF(V835&lt;=0,0,1)</f>
        <v>0</v>
      </c>
      <c r="Z835">
        <f t="shared" ref="Z835:Z841" si="96">IF(W835&gt;=0.01,0,1)</f>
        <v>0</v>
      </c>
      <c r="AA835">
        <f t="shared" ref="AA835:AA841" si="97">IF(SUM(X835:Z835)&gt;=2,1,0)</f>
        <v>0</v>
      </c>
    </row>
    <row r="836" spans="1:27" x14ac:dyDescent="0.35">
      <c r="A836" s="1">
        <v>-34.6615395236729</v>
      </c>
      <c r="B836" s="1">
        <v>-118.10047334058299</v>
      </c>
      <c r="C836" s="1">
        <v>-0.24696499136424199</v>
      </c>
      <c r="D836" s="1" t="s">
        <v>3</v>
      </c>
      <c r="E836" s="1">
        <v>66.296819999999997</v>
      </c>
      <c r="F836" s="1">
        <v>-4.0122900000000001</v>
      </c>
      <c r="G836" s="1">
        <v>0.54762999999999995</v>
      </c>
      <c r="H836" s="1">
        <v>0.17878567079222701</v>
      </c>
      <c r="I836" s="1">
        <v>-0.39117000000000002</v>
      </c>
      <c r="J836" s="1">
        <v>561476766499</v>
      </c>
      <c r="K836" s="1">
        <v>-3359759342341</v>
      </c>
      <c r="L836">
        <v>8589025755237</v>
      </c>
      <c r="M836">
        <v>-4102462459409</v>
      </c>
      <c r="N836">
        <v>2211413142070</v>
      </c>
      <c r="O836">
        <v>-4287311376095</v>
      </c>
      <c r="P836">
        <v>5694250948855</v>
      </c>
      <c r="Q836">
        <v>4067189304334</v>
      </c>
      <c r="R836">
        <v>7426948646675</v>
      </c>
      <c r="S836">
        <v>-3054728184390</v>
      </c>
      <c r="T836">
        <v>-0.80664999999999998</v>
      </c>
      <c r="U836">
        <f t="shared" si="91"/>
        <v>-1.7563439401468028</v>
      </c>
      <c r="V836">
        <f t="shared" si="92"/>
        <v>1.7273362040578346</v>
      </c>
      <c r="W836">
        <f t="shared" si="93"/>
        <v>-1.8070641084096906</v>
      </c>
      <c r="X836">
        <f t="shared" si="94"/>
        <v>1</v>
      </c>
      <c r="Y836">
        <f t="shared" si="95"/>
        <v>1</v>
      </c>
      <c r="Z836">
        <f t="shared" si="96"/>
        <v>1</v>
      </c>
      <c r="AA836">
        <f t="shared" si="97"/>
        <v>1</v>
      </c>
    </row>
    <row r="837" spans="1:27" x14ac:dyDescent="0.35">
      <c r="A837" s="1">
        <v>-25.122480713864999</v>
      </c>
      <c r="B837" s="1" t="s">
        <v>3</v>
      </c>
      <c r="C837" s="1">
        <v>-0.184394799672808</v>
      </c>
      <c r="D837" s="1" t="s">
        <v>3</v>
      </c>
      <c r="E837" s="1">
        <v>85.432360000000003</v>
      </c>
      <c r="F837" s="1">
        <v>-2.31088</v>
      </c>
      <c r="G837" s="1">
        <v>0.43501000000000001</v>
      </c>
      <c r="H837" s="1">
        <v>0.17840632687846</v>
      </c>
      <c r="I837" s="1">
        <v>-0.79039000000000004</v>
      </c>
      <c r="J837" s="1">
        <v>-18561790720</v>
      </c>
      <c r="K837" s="1">
        <v>-5439536485529</v>
      </c>
      <c r="L837">
        <v>6882077282159</v>
      </c>
      <c r="M837">
        <v>-1934708271039</v>
      </c>
      <c r="N837">
        <v>1380071332830</v>
      </c>
      <c r="O837">
        <v>-1943362438396</v>
      </c>
      <c r="P837">
        <v>5879521322903</v>
      </c>
      <c r="Q837">
        <v>4188082440669</v>
      </c>
      <c r="R837">
        <v>9627618926198</v>
      </c>
      <c r="S837">
        <v>-1426395472649</v>
      </c>
      <c r="T837">
        <v>-1.2881800000000001</v>
      </c>
      <c r="U837">
        <f t="shared" si="91"/>
        <v>-1.5028159424007899</v>
      </c>
      <c r="V837">
        <f t="shared" si="92"/>
        <v>1.8420957350200189</v>
      </c>
      <c r="W837">
        <f t="shared" si="93"/>
        <v>-1.9571853426972496</v>
      </c>
      <c r="X837">
        <f t="shared" si="94"/>
        <v>1</v>
      </c>
      <c r="Y837">
        <f t="shared" si="95"/>
        <v>1</v>
      </c>
      <c r="Z837">
        <f t="shared" si="96"/>
        <v>1</v>
      </c>
      <c r="AA837">
        <f t="shared" si="97"/>
        <v>1</v>
      </c>
    </row>
    <row r="838" spans="1:27" x14ac:dyDescent="0.35">
      <c r="A838">
        <v>10.5213078921389</v>
      </c>
      <c r="B838" s="1" t="s">
        <v>3</v>
      </c>
      <c r="C838">
        <v>-0.198680950630019</v>
      </c>
      <c r="D838" s="1" t="s">
        <v>3</v>
      </c>
      <c r="E838" s="1">
        <v>67.942750000000004</v>
      </c>
      <c r="F838" s="1">
        <v>-2.8357399999999999</v>
      </c>
      <c r="G838" s="1">
        <v>0.34251999999999999</v>
      </c>
      <c r="H838" s="1">
        <v>0.32106703416958499</v>
      </c>
      <c r="I838" s="1">
        <v>-0.71909000000000001</v>
      </c>
      <c r="J838" s="1">
        <v>151945946515</v>
      </c>
      <c r="K838" s="1">
        <v>-4288398004726</v>
      </c>
      <c r="L838">
        <v>5963657951878</v>
      </c>
      <c r="M838">
        <v>680234801032</v>
      </c>
      <c r="N838">
        <v>2062171056660</v>
      </c>
      <c r="O838">
        <v>675769677491</v>
      </c>
      <c r="P838">
        <v>4051873124171</v>
      </c>
      <c r="Q838">
        <v>2234091963771</v>
      </c>
      <c r="R838">
        <v>6522489968497</v>
      </c>
      <c r="S838">
        <v>-1276101443920</v>
      </c>
      <c r="T838">
        <v>-1.3733299999999999</v>
      </c>
      <c r="U838">
        <f t="shared" si="91"/>
        <v>-1.1904310203773212</v>
      </c>
      <c r="V838">
        <f t="shared" si="92"/>
        <v>-0.93580907200563024</v>
      </c>
      <c r="W838">
        <f t="shared" si="93"/>
        <v>-1.8560697635784058</v>
      </c>
      <c r="X838">
        <f t="shared" si="94"/>
        <v>1</v>
      </c>
      <c r="Y838">
        <f t="shared" si="95"/>
        <v>0</v>
      </c>
      <c r="Z838">
        <f t="shared" si="96"/>
        <v>1</v>
      </c>
      <c r="AA838">
        <f t="shared" si="97"/>
        <v>1</v>
      </c>
    </row>
    <row r="839" spans="1:27" x14ac:dyDescent="0.35">
      <c r="A839">
        <v>0.120732055651734</v>
      </c>
      <c r="B839" s="1" t="s">
        <v>3</v>
      </c>
      <c r="C839">
        <v>-0.13873699631467801</v>
      </c>
      <c r="D839" s="1" t="s">
        <v>3</v>
      </c>
      <c r="E839" s="1">
        <v>70.107759999999999</v>
      </c>
      <c r="F839" s="1">
        <v>-3.0021599999999999</v>
      </c>
      <c r="G839" s="1">
        <v>0.63417999999999997</v>
      </c>
      <c r="H839" s="1">
        <v>0.28506579521444098</v>
      </c>
      <c r="I839" s="1">
        <v>-0.21640000000000001</v>
      </c>
      <c r="J839" s="1">
        <v>-106350093592</v>
      </c>
      <c r="K839" s="1">
        <v>-967972372784</v>
      </c>
      <c r="L839">
        <v>4473145720502</v>
      </c>
      <c r="M839">
        <v>7575407383</v>
      </c>
      <c r="N839">
        <v>1487587869182</v>
      </c>
      <c r="O839">
        <v>6300283809</v>
      </c>
      <c r="P839">
        <v>3136022164302</v>
      </c>
      <c r="Q839">
        <v>1678076743844</v>
      </c>
      <c r="R839">
        <v>2646049116628</v>
      </c>
      <c r="S839">
        <v>-723985396316</v>
      </c>
      <c r="T839">
        <v>-1.8295699999999999</v>
      </c>
      <c r="U839">
        <f t="shared" si="91"/>
        <v>-0.5848589824164605</v>
      </c>
      <c r="V839">
        <f t="shared" si="92"/>
        <v>-0.30765918899478734</v>
      </c>
      <c r="W839">
        <f t="shared" si="93"/>
        <v>-0.85097397477954662</v>
      </c>
      <c r="X839">
        <f t="shared" si="94"/>
        <v>1</v>
      </c>
      <c r="Y839">
        <f t="shared" si="95"/>
        <v>0</v>
      </c>
      <c r="Z839">
        <f t="shared" si="96"/>
        <v>1</v>
      </c>
      <c r="AA839">
        <f t="shared" si="97"/>
        <v>1</v>
      </c>
    </row>
    <row r="840" spans="1:27" x14ac:dyDescent="0.35">
      <c r="A840" s="1">
        <v>-24.649763025869799</v>
      </c>
      <c r="B840" s="1" t="s">
        <v>3</v>
      </c>
      <c r="C840" s="1">
        <v>-8.4674085094599005E-2</v>
      </c>
      <c r="D840" s="1" t="s">
        <v>3</v>
      </c>
      <c r="E840" s="1">
        <v>91.62724</v>
      </c>
      <c r="F840" s="1">
        <v>-4.2799399999999999</v>
      </c>
      <c r="G840" s="1">
        <v>0.53027000000000002</v>
      </c>
      <c r="H840" s="1">
        <v>0.487382829820597</v>
      </c>
      <c r="I840" s="1">
        <v>-0.32529999999999998</v>
      </c>
      <c r="J840" s="1">
        <v>82213389667</v>
      </c>
      <c r="K840" s="1">
        <v>-1177130747605</v>
      </c>
      <c r="L840">
        <v>3618630656515</v>
      </c>
      <c r="M840">
        <v>-989914441637</v>
      </c>
      <c r="N840">
        <v>1971896434453</v>
      </c>
      <c r="O840">
        <v>-997301850759</v>
      </c>
      <c r="P840">
        <v>3315651264347</v>
      </c>
      <c r="Q840">
        <v>1328833828575</v>
      </c>
      <c r="R840">
        <v>2505964576180</v>
      </c>
      <c r="S840">
        <v>-342581880757</v>
      </c>
      <c r="T840">
        <v>-2.5370300000000001</v>
      </c>
      <c r="U840">
        <f t="shared" si="91"/>
        <v>-0.66844212692214811</v>
      </c>
      <c r="V840">
        <f t="shared" si="92"/>
        <v>2.1650825513348257</v>
      </c>
      <c r="W840">
        <f t="shared" si="93"/>
        <v>-0.80641259493617823</v>
      </c>
      <c r="X840">
        <f t="shared" si="94"/>
        <v>1</v>
      </c>
      <c r="Y840">
        <f t="shared" si="95"/>
        <v>1</v>
      </c>
      <c r="Z840">
        <f t="shared" si="96"/>
        <v>1</v>
      </c>
      <c r="AA840">
        <f t="shared" si="97"/>
        <v>1</v>
      </c>
    </row>
    <row r="841" spans="1:27" x14ac:dyDescent="0.35">
      <c r="A841" s="1" t="s">
        <v>3</v>
      </c>
      <c r="B841" s="1" t="s">
        <v>3</v>
      </c>
      <c r="C841" s="1" t="s">
        <v>3</v>
      </c>
      <c r="D841" s="1" t="s">
        <v>3</v>
      </c>
      <c r="E841" s="1" t="s">
        <v>3</v>
      </c>
      <c r="F841" s="1" t="s">
        <v>3</v>
      </c>
      <c r="G841" s="1" t="s">
        <v>3</v>
      </c>
      <c r="H841" s="1" t="s">
        <v>3</v>
      </c>
      <c r="I841" s="1" t="s">
        <v>3</v>
      </c>
      <c r="J841" s="1" t="s">
        <v>3</v>
      </c>
      <c r="K841" s="1" t="s">
        <v>3</v>
      </c>
      <c r="L841" s="1" t="s">
        <v>3</v>
      </c>
      <c r="M841" s="1" t="s">
        <v>3</v>
      </c>
      <c r="N841" s="1" t="s">
        <v>3</v>
      </c>
      <c r="O841" s="1" t="s">
        <v>3</v>
      </c>
      <c r="P841" s="1" t="s">
        <v>3</v>
      </c>
      <c r="Q841" s="1" t="s">
        <v>3</v>
      </c>
      <c r="R841" s="1" t="s">
        <v>3</v>
      </c>
      <c r="S841" s="1" t="s">
        <v>3</v>
      </c>
      <c r="T841" s="1" t="s">
        <v>3</v>
      </c>
      <c r="U841" t="e">
        <f t="shared" si="91"/>
        <v>#VALUE!</v>
      </c>
      <c r="V841" t="e">
        <f t="shared" si="92"/>
        <v>#VALUE!</v>
      </c>
      <c r="W841" t="e">
        <f t="shared" si="93"/>
        <v>#VALUE!</v>
      </c>
      <c r="X841" t="e">
        <f t="shared" si="94"/>
        <v>#VALUE!</v>
      </c>
      <c r="Y841" t="e">
        <f t="shared" si="95"/>
        <v>#VALUE!</v>
      </c>
      <c r="Z841" t="e">
        <f t="shared" si="96"/>
        <v>#VALUE!</v>
      </c>
      <c r="AA841" t="e">
        <f t="shared" si="97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Felicia Christy Widjaya</dc:creator>
  <cp:lastModifiedBy>Grace Felicia Christy Widjaya</cp:lastModifiedBy>
  <dcterms:created xsi:type="dcterms:W3CDTF">2026-03-05T14:05:51Z</dcterms:created>
  <dcterms:modified xsi:type="dcterms:W3CDTF">2026-06-26T09:36:52Z</dcterms:modified>
</cp:coreProperties>
</file>